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aseline" sheetId="2" state="visible" r:id="rId2"/>
    <sheet xmlns:r="http://schemas.openxmlformats.org/officeDocument/2006/relationships" name="Submissions" sheetId="3" state="visible" r:id="rId3"/>
    <sheet xmlns:r="http://schemas.openxmlformats.org/officeDocument/2006/relationships" name="Exceptions" sheetId="4" state="visible" r:id="rId4"/>
    <sheet xmlns:r="http://schemas.openxmlformats.org/officeDocument/2006/relationships" name="Clarifications" sheetId="5" state="visible" r:id="rId5"/>
    <sheet xmlns:r="http://schemas.openxmlformats.org/officeDocument/2006/relationships" name="Compliance Matrix" sheetId="6" state="visible" r:id="rId6"/>
    <sheet xmlns:r="http://schemas.openxmlformats.org/officeDocument/2006/relationships" name="Evaluation" sheetId="7" state="visible" r:id="rId7"/>
    <sheet xmlns:r="http://schemas.openxmlformats.org/officeDocument/2006/relationships" name="Approval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\-mmm\-yyyy"/>
    <numFmt numFmtId="165" formatCode="[&gt;40000]dd\-mmm\-yyyy;General"/>
    <numFmt numFmtId="166" formatCode="dd-mmm-yyyy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color theme="1"/>
      <sz val="11"/>
    </font>
    <font>
      <name val="Arial"/>
      <charset val="1"/>
      <family val="0"/>
      <i val="1"/>
      <color rgb="FF7F7F7F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7F7F7F"/>
      <sz val="10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7F7F7F"/>
      <sz val="9"/>
    </font>
    <font>
      <name val="Arial"/>
      <color rgb="007F7F7F"/>
      <sz val="9"/>
    </font>
  </fonts>
  <fills count="6">
    <fill>
      <patternFill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left" vertical="bottom"/>
    </xf>
    <xf numFmtId="0" fontId="11" fillId="4" borderId="1" applyAlignment="1" pivotButton="0" quotePrefix="0" xfId="0">
      <alignment horizontal="general" vertical="center" wrapText="1"/>
    </xf>
    <xf numFmtId="165" fontId="10" fillId="0" borderId="1" applyAlignment="1" pivotButton="0" quotePrefix="0" xfId="0">
      <alignment horizontal="right" vertical="bottom"/>
    </xf>
    <xf numFmtId="165" fontId="10" fillId="3" borderId="1" applyAlignment="1" pivotButton="0" quotePrefix="0" xfId="0">
      <alignment horizontal="right" vertical="bottom"/>
    </xf>
    <xf numFmtId="0" fontId="1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65" fontId="5" fillId="2" borderId="0" applyAlignment="1" pivotButton="0" quotePrefix="0" xfId="0">
      <alignment horizontal="right" vertical="bottom"/>
    </xf>
    <xf numFmtId="165" fontId="10" fillId="0" borderId="0" applyAlignment="1" pivotButton="0" quotePrefix="0" xfId="0">
      <alignment horizontal="right" vertical="bottom"/>
    </xf>
    <xf numFmtId="0" fontId="12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left" vertical="bottom"/>
    </xf>
    <xf numFmtId="0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right" vertical="bottom"/>
    </xf>
    <xf numFmtId="0" fontId="8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3" fontId="8" fillId="0" borderId="0" applyAlignment="1" pivotButton="0" quotePrefix="0" xfId="0">
      <alignment horizontal="general" vertical="bottom"/>
    </xf>
    <xf numFmtId="4" fontId="10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3" fontId="8" fillId="0" borderId="0" applyAlignment="1" pivotButton="0" quotePrefix="0" xfId="0">
      <alignment horizontal="left" vertical="bottom"/>
    </xf>
    <xf numFmtId="164" fontId="1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left" vertical="bottom"/>
    </xf>
    <xf numFmtId="0" fontId="13" fillId="0" borderId="0" applyAlignment="1" pivotButton="0" quotePrefix="0" xfId="0">
      <alignment horizontal="general" vertical="bottom"/>
    </xf>
    <xf numFmtId="9" fontId="14" fillId="5" borderId="0" applyAlignment="1" pivotButton="0" quotePrefix="0" xfId="0">
      <alignment horizontal="left"/>
    </xf>
    <xf numFmtId="0" fontId="15" fillId="0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center" wrapText="1"/>
    </xf>
    <xf numFmtId="0" fontId="10" fillId="0" borderId="1" applyAlignment="1" pivotButton="0" quotePrefix="0" xfId="0">
      <alignment horizontal="right" vertical="bottom"/>
    </xf>
    <xf numFmtId="166" fontId="10" fillId="3" borderId="1" applyAlignment="1" pivotButton="0" quotePrefix="0" xfId="0">
      <alignment horizontal="right" vertical="bottom"/>
    </xf>
    <xf numFmtId="166" fontId="10" fillId="0" borderId="1" applyAlignment="1" pivotButton="0" quotePrefix="0" xfId="0">
      <alignment horizontal="right" vertical="bottom"/>
    </xf>
    <xf numFmtId="165" fontId="10" fillId="0" borderId="1" applyAlignment="1" pivotButton="0" quotePrefix="0" xfId="0">
      <alignment horizontal="right" vertical="bottom"/>
    </xf>
    <xf numFmtId="0" fontId="11" fillId="4" borderId="1" applyAlignment="1" pivotButton="0" quotePrefix="0" xfId="0">
      <alignment vertical="center" wrapText="1"/>
    </xf>
    <xf numFmtId="0" fontId="1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right" vertical="bottom"/>
    </xf>
    <xf numFmtId="0" fontId="12" fillId="0" borderId="0" applyAlignment="1" pivotButton="0" quotePrefix="0" xfId="0">
      <alignment horizontal="general" vertical="bottom"/>
    </xf>
    <xf numFmtId="9" fontId="14" fillId="0" borderId="0" pivotButton="0" quotePrefix="0" xfId="0"/>
    <xf numFmtId="0" fontId="16" fillId="0" borderId="0" pivotButton="0" quotePrefix="0" xfId="0"/>
    <xf numFmtId="0" fontId="8" fillId="2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left" vertical="bottom"/>
    </xf>
    <xf numFmtId="0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right" vertical="bottom"/>
    </xf>
    <xf numFmtId="0" fontId="8" fillId="0" borderId="1" applyAlignment="1" pivotButton="0" quotePrefix="0" xfId="0">
      <alignment horizontal="center" vertical="bottom"/>
    </xf>
    <xf numFmtId="166" fontId="8" fillId="0" borderId="1" applyAlignment="1" pivotButton="0" quotePrefix="0" xfId="0">
      <alignment horizontal="right" vertical="bottom"/>
    </xf>
    <xf numFmtId="165" fontId="8" fillId="0" borderId="1" applyAlignment="1" pivotButton="0" quotePrefix="0" xfId="0">
      <alignment horizontal="right" vertical="bottom"/>
    </xf>
    <xf numFmtId="3" fontId="8" fillId="0" borderId="0" applyAlignment="1" pivotButton="0" quotePrefix="0" xfId="0">
      <alignment horizontal="general" vertical="bottom"/>
    </xf>
    <xf numFmtId="4" fontId="10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3" fontId="8" fillId="0" borderId="0" applyAlignment="1" pivotButton="0" quotePrefix="0" xfId="0">
      <alignment horizontal="left" vertical="bottom"/>
    </xf>
    <xf numFmtId="164" fontId="1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404040"/>
        <sz val="10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3" min="1" max="1"/>
    <col width="120" customWidth="1" style="33" min="2" max="2"/>
  </cols>
  <sheetData>
    <row r="1" ht="17.35" customHeight="1" s="34">
      <c r="A1" s="35" t="inlineStr">
        <is>
          <t>Supplier Quotation Compliance &amp; Evaluation - Phase 1</t>
        </is>
      </c>
      <c r="B1" s="36" t="n"/>
    </row>
    <row r="2" ht="15" customHeight="1" s="34">
      <c r="A2" s="37" t="inlineStr">
        <is>
          <t>Compare like-for-like before comparing price. Rules classify; humans approve exceptions and award.</t>
        </is>
      </c>
      <c r="B2" s="36" t="n"/>
    </row>
    <row r="3" ht="15" customHeight="1" s="34">
      <c r="A3" s="36" t="n"/>
      <c r="B3" s="36" t="n"/>
    </row>
    <row r="4" ht="15" customHeight="1" s="34">
      <c r="A4" s="38" t="inlineStr">
        <is>
          <t>HOW TO USE</t>
        </is>
      </c>
      <c r="B4" s="36" t="n"/>
    </row>
    <row r="5" ht="15" customHeight="1" s="34">
      <c r="A5" s="38" t="inlineStr">
        <is>
          <t>1. Baseline</t>
        </is>
      </c>
      <c r="B5" s="39" t="inlineStr">
        <is>
          <t>RFQ header, BOQ items, and requirement lines (class, rule, target, tolerance, fail result).</t>
        </is>
      </c>
    </row>
    <row r="6" ht="15" customHeight="1" s="34">
      <c r="A6" s="38" t="inlineStr">
        <is>
          <t>2. Submissions</t>
        </is>
      </c>
      <c r="B6" s="39" t="inlineStr">
        <is>
          <t>One row per supplier + revision + baseline line. Offered value + supplier declaration. New revision = new rows; never overwrite.</t>
        </is>
      </c>
    </row>
    <row r="7" ht="15" customHeight="1" s="34">
      <c r="A7" s="38" t="inlineStr">
        <is>
          <t>3. Exceptions</t>
        </is>
      </c>
      <c r="B7" s="39" t="inlineStr">
        <is>
          <t>Log every YELLOW/RED line needing a decision. Only Decision = Accepted with an Approver name clears a line.</t>
        </is>
      </c>
    </row>
    <row r="8" ht="15" customHeight="1" s="34">
      <c r="A8" s="38" t="inlineStr">
        <is>
          <t>4. Compliance Matrix</t>
        </is>
      </c>
      <c r="B8" s="39" t="inlineStr">
        <is>
          <t>Supplier names in row 4 (max 8). Latest revision is picked up automatically.</t>
        </is>
      </c>
    </row>
    <row r="9" ht="15" customHeight="1" s="34">
      <c r="A9" s="38" t="inlineStr">
        <is>
          <t>5. Evaluation</t>
        </is>
      </c>
      <c r="B9" s="39" t="inlineStr">
        <is>
          <t>Enter unit rates per BOQ item. Totals use RFQ quantities. Only eligible suppliers are ranked.</t>
        </is>
      </c>
    </row>
    <row r="10" ht="15" customHeight="1" s="34">
      <c r="A10" s="38" t="inlineStr">
        <is>
          <t>6. Approval</t>
        </is>
      </c>
      <c r="B10" s="39" t="inlineStr">
        <is>
          <t>Sign-offs. Award status turns APPROVED only when every role approves.</t>
        </is>
      </c>
    </row>
    <row r="11" ht="15" customHeight="1" s="34">
      <c r="A11" s="38" t="n"/>
      <c r="B11" s="36" t="n"/>
    </row>
    <row r="12" ht="15" customHeight="1" s="34">
      <c r="A12" s="38" t="inlineStr">
        <is>
          <t>COLOUR LEGEND</t>
        </is>
      </c>
      <c r="B12" s="36" t="n"/>
    </row>
    <row r="13" ht="15" customHeight="1" s="34">
      <c r="A13" s="40" t="inlineStr">
        <is>
          <t>Blue text</t>
        </is>
      </c>
      <c r="B13" s="39" t="inlineStr">
        <is>
          <t>Input - edit these cells</t>
        </is>
      </c>
    </row>
    <row r="14" ht="15" customHeight="1" s="34">
      <c r="A14" s="38" t="inlineStr">
        <is>
          <t>Black text</t>
        </is>
      </c>
      <c r="B14" s="39" t="inlineStr">
        <is>
          <t>Formula - do not edit</t>
        </is>
      </c>
    </row>
    <row r="15" ht="15" customHeight="1" s="34">
      <c r="A15" s="41" t="inlineStr">
        <is>
          <t>Grey fill</t>
        </is>
      </c>
      <c r="B15" s="39" t="inlineStr">
        <is>
          <t>Lookup from Baseline - do not edit</t>
        </is>
      </c>
    </row>
    <row r="16" ht="15" customHeight="1" s="34">
      <c r="A16" s="42" t="inlineStr">
        <is>
          <t>Yellow fill</t>
        </is>
      </c>
      <c r="B16" s="39" t="inlineStr">
        <is>
          <t>Key assumption - confirm before use</t>
        </is>
      </c>
    </row>
    <row r="17" ht="15" customHeight="1" s="34">
      <c r="A17" s="38" t="n"/>
      <c r="B17" s="36" t="n"/>
    </row>
    <row r="18" ht="15" customHeight="1" s="34">
      <c r="A18" s="38" t="inlineStr">
        <is>
          <t>STATUS LOGIC</t>
        </is>
      </c>
      <c r="B18" s="36" t="n"/>
    </row>
    <row r="19" ht="15" customHeight="1" s="34">
      <c r="A19" s="38" t="inlineStr">
        <is>
          <t>GREEN</t>
        </is>
      </c>
      <c r="B19" s="39" t="inlineStr">
        <is>
          <t>Meets baseline (or Informational).</t>
        </is>
      </c>
    </row>
    <row r="20" ht="15" customHeight="1" s="34">
      <c r="A20" s="38" t="inlineStr">
        <is>
          <t>YELLOW</t>
        </is>
      </c>
      <c r="B20" s="39" t="inlineStr">
        <is>
          <t>Within tolerance, alternative/partial declaration, brand/spec equivalence, or value not stated on an Evaluated line.</t>
        </is>
      </c>
    </row>
    <row r="21" ht="15" customHeight="1" s="34">
      <c r="A21" s="38" t="inlineStr">
        <is>
          <t>RED</t>
        </is>
      </c>
      <c r="B21" s="39" t="inlineStr">
        <is>
          <t>Fails a mandatory requirement, mandatory value missing, or declared Non-Compliant.</t>
        </is>
      </c>
    </row>
    <row r="22" ht="15" customHeight="1" s="34">
      <c r="A22" s="38" t="inlineStr">
        <is>
          <t>CLEARED</t>
        </is>
      </c>
      <c r="B22" s="39" t="inlineStr">
        <is>
          <t>YELLOW/RED line accepted through a logged exception with approver.</t>
        </is>
      </c>
    </row>
    <row r="23" ht="15" customHeight="1" s="34">
      <c r="A23" s="38" t="inlineStr">
        <is>
          <t>Supplier eligible</t>
        </is>
      </c>
      <c r="B23" s="39" t="inlineStr">
        <is>
          <t>YES only when the latest revision has no open RED/YELLOW lines and no missing lines.</t>
        </is>
      </c>
    </row>
    <row r="24" ht="15" customHeight="1" s="34">
      <c r="A24" s="38" t="n"/>
      <c r="B24" s="36" t="n"/>
    </row>
    <row r="25" ht="15" customHeight="1" s="34">
      <c r="A25" s="38" t="inlineStr">
        <is>
          <t>SAMPLE EXERCISE</t>
        </is>
      </c>
      <c r="B25" s="36" t="n"/>
    </row>
    <row r="26" ht="15" customHeight="1" s="34">
      <c r="A26" s="38" t="inlineStr">
        <is>
          <t>Data</t>
        </is>
      </c>
      <c r="B26" s="39" t="inlineStr">
        <is>
          <t>RFQ P01113, aluminium works, Diyar 33 (Qairawan). 7 quotations keyed from the PDFs against the RFQ spec sheets.</t>
        </is>
      </c>
    </row>
    <row r="27" ht="15" customHeight="1" s="34">
      <c r="A27" s="38" t="inlineStr">
        <is>
          <t>Declaration</t>
        </is>
      </c>
      <c r="B27" s="39" t="inlineStr">
        <is>
          <t>Quotations carry no structured declarations. "Fully Compliant" = supplier stated the value; "Not Stated" = absent from the quotation.</t>
        </is>
      </c>
    </row>
    <row r="28" ht="15" customHeight="1" s="34">
      <c r="A28" s="38" t="inlineStr">
        <is>
          <t>Check before use</t>
        </is>
      </c>
      <c r="B28" s="39" t="inlineStr">
        <is>
          <t>Offered values are my reading of the PDFs (Arabic OCR). Verify against originals. Validity target (15-Oct-2026) is an assumption.</t>
        </is>
      </c>
    </row>
    <row r="29" ht="15" customHeight="1" s="34">
      <c r="A29" s="38" t="inlineStr">
        <is>
          <t>Out of scope</t>
        </is>
      </c>
      <c r="B29" s="39" t="inlineStr">
        <is>
          <t>AI extraction, confidence scores, supplier portal and Odoo integration (Phases 2-4).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5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33" min="1" max="1"/>
    <col width="52" customWidth="1" style="33" min="2" max="2"/>
    <col width="14" customWidth="1" style="33" min="3" max="3"/>
    <col width="9" customWidth="1" style="33" min="4" max="4"/>
    <col width="21" customWidth="1" style="33" min="5" max="5"/>
    <col width="10" customWidth="1" style="33" min="6" max="6"/>
    <col width="11" customWidth="1" style="33" min="7" max="7"/>
    <col width="56" customWidth="1" style="33" min="8" max="8"/>
  </cols>
  <sheetData>
    <row r="1" ht="17.35" customHeight="1" s="34">
      <c r="A1" s="35" t="inlineStr">
        <is>
          <t>RFQ Baseline</t>
        </is>
      </c>
      <c r="B1" s="36" t="n"/>
      <c r="C1" s="36" t="n"/>
      <c r="D1" s="36" t="n"/>
      <c r="E1" s="36" t="n"/>
      <c r="F1" s="36" t="n"/>
      <c r="G1" s="36" t="n"/>
      <c r="H1" s="36" t="n"/>
    </row>
    <row r="2" ht="15" customHeight="1" s="34">
      <c r="A2" s="36" t="n"/>
      <c r="B2" s="36" t="n"/>
      <c r="C2" s="36" t="n"/>
      <c r="D2" s="36" t="n"/>
      <c r="E2" s="36" t="n"/>
      <c r="F2" s="36" t="n"/>
      <c r="G2" s="36" t="n"/>
      <c r="H2" s="36" t="n"/>
    </row>
    <row r="3" ht="15" customHeight="1" s="34">
      <c r="A3" s="38" t="inlineStr">
        <is>
          <t>RFQ ID</t>
        </is>
      </c>
      <c r="B3" s="43" t="inlineStr">
        <is>
          <t>P01113</t>
        </is>
      </c>
      <c r="C3" s="36" t="n"/>
      <c r="D3" s="36" t="n"/>
      <c r="E3" s="36" t="n"/>
      <c r="F3" s="36" t="n"/>
      <c r="G3" s="36" t="n"/>
      <c r="H3" s="36" t="n"/>
    </row>
    <row r="4" ht="15" customHeight="1" s="34">
      <c r="A4" s="38" t="inlineStr">
        <is>
          <t>Title</t>
        </is>
      </c>
      <c r="B4" s="43" t="inlineStr">
        <is>
          <t>Aluminium works supply &amp; install - Diyar 33 (Qairawan)</t>
        </is>
      </c>
      <c r="C4" s="36" t="n"/>
      <c r="D4" s="36" t="n"/>
      <c r="E4" s="36" t="n"/>
      <c r="F4" s="36" t="n"/>
      <c r="G4" s="36" t="n"/>
      <c r="H4" s="36" t="n"/>
    </row>
    <row r="5" ht="15" customHeight="1" s="34">
      <c r="A5" s="38" t="inlineStr">
        <is>
          <t>Baseline version</t>
        </is>
      </c>
      <c r="B5" s="43" t="inlineStr">
        <is>
          <t>v1</t>
        </is>
      </c>
      <c r="C5" s="36" t="n"/>
      <c r="D5" s="36" t="n"/>
      <c r="E5" s="36" t="n"/>
      <c r="F5" s="36" t="n"/>
      <c r="G5" s="36" t="n"/>
      <c r="H5" s="36" t="n"/>
    </row>
    <row r="6" ht="15" customHeight="1" s="34">
      <c r="A6" s="38" t="inlineStr">
        <is>
          <t>Issue date</t>
        </is>
      </c>
      <c r="B6" s="44" t="n">
        <v>46285</v>
      </c>
      <c r="C6" s="36" t="n"/>
      <c r="D6" s="36" t="n"/>
      <c r="E6" s="36" t="n"/>
      <c r="F6" s="36" t="n"/>
      <c r="G6" s="36" t="n"/>
      <c r="H6" s="36" t="n"/>
    </row>
    <row r="7" ht="15" customHeight="1" s="34">
      <c r="A7" s="38" t="inlineStr">
        <is>
          <t>Approved by</t>
        </is>
      </c>
      <c r="B7" s="43" t="n"/>
      <c r="C7" s="36" t="n"/>
      <c r="D7" s="36" t="n"/>
      <c r="E7" s="36" t="n"/>
      <c r="F7" s="36" t="n"/>
      <c r="G7" s="36" t="n"/>
      <c r="H7" s="36" t="n"/>
    </row>
    <row r="8" ht="15" customHeight="1" s="34">
      <c r="A8" s="38" t="inlineStr">
        <is>
          <t>Change note</t>
        </is>
      </c>
      <c r="B8" s="43" t="inlineStr">
        <is>
          <t>Initial issue</t>
        </is>
      </c>
      <c r="C8" s="36" t="n"/>
      <c r="D8" s="36" t="n"/>
      <c r="E8" s="36" t="n"/>
      <c r="F8" s="36" t="n"/>
      <c r="G8" s="36" t="n"/>
      <c r="H8" s="36" t="n"/>
    </row>
    <row r="9" ht="15" customHeight="1" s="34">
      <c r="A9" s="45" t="inlineStr">
        <is>
          <t>AI confidence threshold</t>
        </is>
      </c>
      <c r="B9" s="46" t="n">
        <v>0.8</v>
      </c>
      <c r="C9" s="47" t="inlineStr">
        <is>
          <t>Lines below this need human review</t>
        </is>
      </c>
      <c r="D9" s="36" t="n"/>
      <c r="E9" s="36" t="n"/>
      <c r="F9" s="36" t="n"/>
      <c r="G9" s="36" t="n"/>
      <c r="H9" s="36" t="n"/>
    </row>
    <row r="10" ht="30" customHeight="1" s="34">
      <c r="A10" s="48" t="inlineStr">
        <is>
          <t>Item</t>
        </is>
      </c>
      <c r="B10" s="48" t="inlineStr">
        <is>
          <t>Description</t>
        </is>
      </c>
      <c r="C10" s="48" t="inlineStr">
        <is>
          <t>Unit</t>
        </is>
      </c>
      <c r="D10" s="48" t="inlineStr">
        <is>
          <t>Qty</t>
        </is>
      </c>
      <c r="E10" s="36" t="n"/>
      <c r="F10" s="36" t="n"/>
      <c r="G10" s="36" t="n"/>
      <c r="H10" s="36" t="n"/>
    </row>
    <row r="11" ht="15" customHeight="1" s="34">
      <c r="A11" s="43" t="n">
        <v>1</v>
      </c>
      <c r="B11" s="43" t="inlineStr">
        <is>
          <t>Aluminium sliding windows, Saraya 12 cm, 1.5 mm [001386]</t>
        </is>
      </c>
      <c r="C11" s="43" t="inlineStr">
        <is>
          <t>m2</t>
        </is>
      </c>
      <c r="D11" s="43" t="n">
        <v>504</v>
      </c>
      <c r="E11" s="36" t="n"/>
      <c r="F11" s="36" t="n"/>
      <c r="G11" s="36" t="n"/>
      <c r="H11" s="36" t="n"/>
    </row>
    <row r="12" ht="15" customHeight="1" s="34">
      <c r="A12" s="43" t="n">
        <v>2</v>
      </c>
      <c r="B12" s="43" t="inlineStr">
        <is>
          <t>Aluminium hinged doors [8670]</t>
        </is>
      </c>
      <c r="C12" s="43" t="inlineStr">
        <is>
          <t>m2</t>
        </is>
      </c>
      <c r="D12" s="43" t="n">
        <v>23</v>
      </c>
      <c r="E12" s="36" t="n"/>
      <c r="F12" s="36" t="n"/>
      <c r="G12" s="36" t="n"/>
      <c r="H12" s="36" t="n"/>
    </row>
    <row r="13" ht="15" customHeight="1" s="34">
      <c r="A13" s="43" t="n">
        <v>3</v>
      </c>
      <c r="B13" s="43" t="inlineStr">
        <is>
          <t>Skylight</t>
        </is>
      </c>
      <c r="C13" s="43" t="inlineStr">
        <is>
          <t>m2</t>
        </is>
      </c>
      <c r="D13" s="43" t="n">
        <v>7</v>
      </c>
      <c r="E13" s="36" t="n"/>
      <c r="F13" s="36" t="n"/>
      <c r="G13" s="36" t="n"/>
      <c r="H13" s="36" t="n"/>
    </row>
    <row r="14" ht="15" customHeight="1" s="34">
      <c r="A14" s="43" t="n"/>
      <c r="B14" s="43" t="n"/>
      <c r="C14" s="43" t="n"/>
      <c r="D14" s="43" t="n"/>
      <c r="E14" s="36" t="n"/>
      <c r="F14" s="36" t="n"/>
      <c r="G14" s="36" t="n"/>
      <c r="H14" s="36" t="n"/>
    </row>
    <row r="15" ht="15" customHeight="1" s="34">
      <c r="A15" s="43" t="n"/>
      <c r="B15" s="43" t="n"/>
      <c r="C15" s="43" t="n"/>
      <c r="D15" s="43" t="n"/>
      <c r="E15" s="36" t="n"/>
      <c r="F15" s="36" t="n"/>
      <c r="G15" s="36" t="n"/>
      <c r="H15" s="36" t="n"/>
    </row>
    <row r="16" ht="15" customHeight="1" s="34">
      <c r="A16" s="43" t="n"/>
      <c r="B16" s="43" t="n"/>
      <c r="C16" s="43" t="n"/>
      <c r="D16" s="43" t="n"/>
      <c r="E16" s="36" t="n"/>
      <c r="F16" s="36" t="n"/>
      <c r="G16" s="36" t="n"/>
      <c r="H16" s="36" t="n"/>
    </row>
    <row r="17" ht="15" customHeight="1" s="34">
      <c r="A17" s="37" t="inlineStr">
        <is>
          <t>RFQ PDF shows item 1 unit as "Units"; quotations and the comparison sheet use m2. Confirm.</t>
        </is>
      </c>
      <c r="B17" s="36" t="n"/>
      <c r="C17" s="36" t="n"/>
      <c r="D17" s="36" t="n"/>
      <c r="E17" s="36" t="n"/>
      <c r="F17" s="36" t="n"/>
      <c r="G17" s="36" t="n"/>
      <c r="H17" s="36" t="n"/>
    </row>
    <row r="18" ht="15" customHeight="1" s="34">
      <c r="A18" s="36" t="n"/>
      <c r="B18" s="36" t="n"/>
      <c r="C18" s="36" t="n"/>
      <c r="D18" s="36" t="n"/>
      <c r="E18" s="36" t="n"/>
      <c r="F18" s="36" t="n"/>
      <c r="G18" s="36" t="n"/>
      <c r="H18" s="36" t="n"/>
    </row>
    <row r="19" ht="30" customHeight="1" s="34">
      <c r="A19" s="48" t="inlineStr">
        <is>
          <t>Line</t>
        </is>
      </c>
      <c r="B19" s="48" t="inlineStr">
        <is>
          <t>Parameter</t>
        </is>
      </c>
      <c r="C19" s="48" t="inlineStr">
        <is>
          <t>Class</t>
        </is>
      </c>
      <c r="D19" s="48" t="inlineStr">
        <is>
          <t>Rule</t>
        </is>
      </c>
      <c r="E19" s="48" t="inlineStr">
        <is>
          <t>Target</t>
        </is>
      </c>
      <c r="F19" s="48" t="inlineStr">
        <is>
          <t>Tolerance</t>
        </is>
      </c>
      <c r="G19" s="48" t="inlineStr">
        <is>
          <t>Fail result</t>
        </is>
      </c>
      <c r="H19" s="48" t="inlineStr">
        <is>
          <t>Notes</t>
        </is>
      </c>
    </row>
    <row r="20" ht="15" customHeight="1" s="34">
      <c r="A20" s="43" t="n">
        <v>1</v>
      </c>
      <c r="B20" s="43" t="inlineStr">
        <is>
          <t>Item 1 priced (windows)</t>
        </is>
      </c>
      <c r="C20" s="43" t="inlineStr">
        <is>
          <t>Mandatory</t>
        </is>
      </c>
      <c r="D20" s="43" t="inlineStr">
        <is>
          <t>Exact</t>
        </is>
      </c>
      <c r="E20" s="49" t="inlineStr">
        <is>
          <t>Yes</t>
        </is>
      </c>
      <c r="F20" s="43" t="n"/>
      <c r="G20" s="43" t="inlineStr">
        <is>
          <t>RED</t>
        </is>
      </c>
      <c r="H20" s="43" t="inlineStr">
        <is>
          <t>RFQ P01113 item 1</t>
        </is>
      </c>
    </row>
    <row r="21" ht="15" customHeight="1" s="34">
      <c r="A21" s="43" t="n">
        <v>2</v>
      </c>
      <c r="B21" s="43" t="inlineStr">
        <is>
          <t>Item 2 priced (doors)</t>
        </is>
      </c>
      <c r="C21" s="43" t="inlineStr">
        <is>
          <t>Mandatory</t>
        </is>
      </c>
      <c r="D21" s="43" t="inlineStr">
        <is>
          <t>Exact</t>
        </is>
      </c>
      <c r="E21" s="49" t="inlineStr">
        <is>
          <t>Yes</t>
        </is>
      </c>
      <c r="F21" s="43" t="n"/>
      <c r="G21" s="43" t="inlineStr">
        <is>
          <t>RED</t>
        </is>
      </c>
      <c r="H21" s="43" t="inlineStr">
        <is>
          <t>RFQ P01113 item 2</t>
        </is>
      </c>
    </row>
    <row r="22" ht="15" customHeight="1" s="34">
      <c r="A22" s="43" t="n">
        <v>3</v>
      </c>
      <c r="B22" s="43" t="inlineStr">
        <is>
          <t>Item 3 priced (skylight)</t>
        </is>
      </c>
      <c r="C22" s="43" t="inlineStr">
        <is>
          <t>Mandatory</t>
        </is>
      </c>
      <c r="D22" s="43" t="inlineStr">
        <is>
          <t>Exact</t>
        </is>
      </c>
      <c r="E22" s="49" t="inlineStr">
        <is>
          <t>Yes</t>
        </is>
      </c>
      <c r="F22" s="43" t="n"/>
      <c r="G22" s="43" t="inlineStr">
        <is>
          <t>RED</t>
        </is>
      </c>
      <c r="H22" s="43" t="inlineStr">
        <is>
          <t>RFQ P01113 item 3</t>
        </is>
      </c>
    </row>
    <row r="23" ht="15" customHeight="1" s="34">
      <c r="A23" s="43" t="n">
        <v>4</v>
      </c>
      <c r="B23" s="43" t="inlineStr">
        <is>
          <t>Offer valid until</t>
        </is>
      </c>
      <c r="C23" s="43" t="inlineStr">
        <is>
          <t>Evaluated</t>
        </is>
      </c>
      <c r="D23" s="43" t="inlineStr">
        <is>
          <t>Min</t>
        </is>
      </c>
      <c r="E23" s="50" t="n">
        <v>46310</v>
      </c>
      <c r="F23" s="43" t="n">
        <v>0</v>
      </c>
      <c r="G23" s="43" t="inlineStr">
        <is>
          <t>YELLOW</t>
        </is>
      </c>
      <c r="H23" s="43" t="inlineStr">
        <is>
          <t>ASSUMPTION: must cover award window - confirm date</t>
        </is>
      </c>
    </row>
    <row r="24" ht="15" customHeight="1" s="34">
      <c r="A24" s="43" t="n">
        <v>5</v>
      </c>
      <c r="B24" s="43" t="inlineStr">
        <is>
          <t>Quotation date (on/after RFQ date)</t>
        </is>
      </c>
      <c r="C24" s="43" t="inlineStr">
        <is>
          <t>Evaluated</t>
        </is>
      </c>
      <c r="D24" s="43" t="inlineStr">
        <is>
          <t>Min</t>
        </is>
      </c>
      <c r="E24" s="51" t="n">
        <v>46285</v>
      </c>
      <c r="F24" s="43" t="n">
        <v>0</v>
      </c>
      <c r="G24" s="43" t="inlineStr">
        <is>
          <t>YELLOW</t>
        </is>
      </c>
      <c r="H24" s="43" t="inlineStr">
        <is>
          <t>RFQ date 20-Sep-2026</t>
        </is>
      </c>
    </row>
    <row r="25" ht="15" customHeight="1" s="34">
      <c r="A25" s="43" t="n">
        <v>6</v>
      </c>
      <c r="B25" s="43" t="inlineStr">
        <is>
          <t>Prices stated ex-VAT</t>
        </is>
      </c>
      <c r="C25" s="43" t="inlineStr">
        <is>
          <t>Evaluated</t>
        </is>
      </c>
      <c r="D25" s="43" t="inlineStr">
        <is>
          <t>Exact</t>
        </is>
      </c>
      <c r="E25" s="49" t="inlineStr">
        <is>
          <t>Ex-VAT</t>
        </is>
      </c>
      <c r="F25" s="43" t="n"/>
      <c r="G25" s="43" t="inlineStr">
        <is>
          <t>YELLOW</t>
        </is>
      </c>
      <c r="H25" s="43" t="inlineStr">
        <is>
          <t>Needed for like-for-like</t>
        </is>
      </c>
    </row>
    <row r="26" ht="15" customHeight="1" s="34">
      <c r="A26" s="43" t="n">
        <v>7</v>
      </c>
      <c r="B26" s="43" t="inlineStr">
        <is>
          <t>Accessories origin</t>
        </is>
      </c>
      <c r="C26" s="43" t="inlineStr">
        <is>
          <t>Evaluated</t>
        </is>
      </c>
      <c r="D26" s="43" t="inlineStr">
        <is>
          <t>Exact</t>
        </is>
      </c>
      <c r="E26" s="49" t="inlineStr">
        <is>
          <t>Italian</t>
        </is>
      </c>
      <c r="F26" s="43" t="n"/>
      <c r="G26" s="43" t="inlineStr">
        <is>
          <t>YELLOW</t>
        </is>
      </c>
      <c r="H26" s="43" t="inlineStr">
        <is>
          <t>Spec s4: original Italian</t>
        </is>
      </c>
    </row>
    <row r="27" ht="15" customHeight="1" s="34">
      <c r="A27" s="43" t="n">
        <v>8</v>
      </c>
      <c r="B27" s="43" t="inlineStr">
        <is>
          <t>Silicone brand</t>
        </is>
      </c>
      <c r="C27" s="43" t="inlineStr">
        <is>
          <t>Evaluated</t>
        </is>
      </c>
      <c r="D27" s="43" t="inlineStr">
        <is>
          <t>Exact</t>
        </is>
      </c>
      <c r="E27" s="49" t="inlineStr">
        <is>
          <t>Wacker GP</t>
        </is>
      </c>
      <c r="F27" s="43" t="n"/>
      <c r="G27" s="43" t="inlineStr">
        <is>
          <t>YELLOW</t>
        </is>
      </c>
      <c r="H27" s="43" t="inlineStr">
        <is>
          <t>Spec s5: Wacker GP</t>
        </is>
      </c>
    </row>
    <row r="28" ht="15" customHeight="1" s="34">
      <c r="A28" s="43" t="n">
        <v>9</v>
      </c>
      <c r="B28" s="43" t="inlineStr">
        <is>
          <t>Rubber / gasket brand</t>
        </is>
      </c>
      <c r="C28" s="43" t="inlineStr">
        <is>
          <t>Evaluated</t>
        </is>
      </c>
      <c r="D28" s="43" t="inlineStr">
        <is>
          <t>Exact</t>
        </is>
      </c>
      <c r="E28" s="49" t="inlineStr">
        <is>
          <t>ALPHA</t>
        </is>
      </c>
      <c r="F28" s="43" t="n"/>
      <c r="G28" s="43" t="inlineStr">
        <is>
          <t>YELLOW</t>
        </is>
      </c>
      <c r="H28" s="43" t="inlineStr">
        <is>
          <t>Spec s5: ALPHA</t>
        </is>
      </c>
    </row>
    <row r="29" ht="15" customHeight="1" s="34">
      <c r="A29" s="43" t="n">
        <v>10</v>
      </c>
      <c r="B29" s="43" t="inlineStr">
        <is>
          <t>Advance payment at signing (%)</t>
        </is>
      </c>
      <c r="C29" s="43" t="inlineStr">
        <is>
          <t>Informational</t>
        </is>
      </c>
      <c r="D29" s="43" t="inlineStr">
        <is>
          <t>Max</t>
        </is>
      </c>
      <c r="E29" s="49" t="n"/>
      <c r="F29" s="43" t="n"/>
      <c r="G29" s="43" t="inlineStr">
        <is>
          <t>YELLOW</t>
        </is>
      </c>
      <c r="H29" s="43" t="inlineStr">
        <is>
          <t>Captured for comparison only</t>
        </is>
      </c>
    </row>
    <row r="30" ht="15" customHeight="1" s="34">
      <c r="A30" s="43" t="n">
        <v>11</v>
      </c>
      <c r="B30" s="43" t="inlineStr">
        <is>
          <t>Windows: frame depth (cm)</t>
        </is>
      </c>
      <c r="C30" s="43" t="inlineStr">
        <is>
          <t>Mandatory</t>
        </is>
      </c>
      <c r="D30" s="43" t="inlineStr">
        <is>
          <t>Min</t>
        </is>
      </c>
      <c r="E30" s="49" t="n">
        <v>12</v>
      </c>
      <c r="F30" s="43" t="n">
        <v>0</v>
      </c>
      <c r="G30" s="43" t="inlineStr">
        <is>
          <t>RED</t>
        </is>
      </c>
      <c r="H30" s="43" t="inlineStr">
        <is>
          <t>Spec s2: 12 cm</t>
        </is>
      </c>
    </row>
    <row r="31" ht="15" customHeight="1" s="34">
      <c r="A31" s="43" t="n">
        <v>12</v>
      </c>
      <c r="B31" s="43" t="inlineStr">
        <is>
          <t>Windows: profile thickness (mm)</t>
        </is>
      </c>
      <c r="C31" s="43" t="inlineStr">
        <is>
          <t>Mandatory</t>
        </is>
      </c>
      <c r="D31" s="43" t="inlineStr">
        <is>
          <t>Min</t>
        </is>
      </c>
      <c r="E31" s="49" t="n">
        <v>1.5</v>
      </c>
      <c r="F31" s="43" t="n">
        <v>0</v>
      </c>
      <c r="G31" s="43" t="inlineStr">
        <is>
          <t>RED</t>
        </is>
      </c>
      <c r="H31" s="43" t="inlineStr">
        <is>
          <t>Spec s2: min 1.5 mm</t>
        </is>
      </c>
    </row>
    <row r="32" ht="15" customHeight="1" s="34">
      <c r="A32" s="43" t="n">
        <v>13</v>
      </c>
      <c r="B32" s="43" t="inlineStr">
        <is>
          <t>Windows: glass total thickness (mm)</t>
        </is>
      </c>
      <c r="C32" s="43" t="inlineStr">
        <is>
          <t>Mandatory</t>
        </is>
      </c>
      <c r="D32" s="43" t="inlineStr">
        <is>
          <t>Min</t>
        </is>
      </c>
      <c r="E32" s="49" t="n">
        <v>24</v>
      </c>
      <c r="F32" s="43" t="n">
        <v>0</v>
      </c>
      <c r="G32" s="43" t="inlineStr">
        <is>
          <t>RED</t>
        </is>
      </c>
      <c r="H32" s="43" t="inlineStr">
        <is>
          <t>Spec s3: 6+12+6 = 24 mm</t>
        </is>
      </c>
    </row>
    <row r="33" ht="15" customHeight="1" s="34">
      <c r="A33" s="43" t="n">
        <v>14</v>
      </c>
      <c r="B33" s="43" t="inlineStr">
        <is>
          <t>Windows: glass tempered (securit)</t>
        </is>
      </c>
      <c r="C33" s="43" t="inlineStr">
        <is>
          <t>Evaluated</t>
        </is>
      </c>
      <c r="D33" s="43" t="inlineStr">
        <is>
          <t>Exact</t>
        </is>
      </c>
      <c r="E33" s="49" t="inlineStr">
        <is>
          <t>Yes</t>
        </is>
      </c>
      <c r="F33" s="43" t="n"/>
      <c r="G33" s="43" t="inlineStr">
        <is>
          <t>YELLOW</t>
        </is>
      </c>
      <c r="H33" s="43" t="inlineStr">
        <is>
          <t>Spec s3</t>
        </is>
      </c>
    </row>
    <row r="34" ht="15" customHeight="1" s="34">
      <c r="A34" s="43" t="n">
        <v>15</v>
      </c>
      <c r="B34" s="43" t="inlineStr">
        <is>
          <t>Windows: glass HD / reflective</t>
        </is>
      </c>
      <c r="C34" s="43" t="inlineStr">
        <is>
          <t>Evaluated</t>
        </is>
      </c>
      <c r="D34" s="43" t="inlineStr">
        <is>
          <t>Exact</t>
        </is>
      </c>
      <c r="E34" s="49" t="inlineStr">
        <is>
          <t>Yes</t>
        </is>
      </c>
      <c r="F34" s="43" t="n"/>
      <c r="G34" s="43" t="inlineStr">
        <is>
          <t>YELLOW</t>
        </is>
      </c>
      <c r="H34" s="43" t="inlineStr">
        <is>
          <t>Spec s3: reflective HD</t>
        </is>
      </c>
    </row>
    <row r="35" ht="15" customHeight="1" s="34">
      <c r="A35" s="43" t="n">
        <v>16</v>
      </c>
      <c r="B35" s="43" t="inlineStr">
        <is>
          <t>Windows: fly screen included</t>
        </is>
      </c>
      <c r="C35" s="43" t="inlineStr">
        <is>
          <t>Evaluated</t>
        </is>
      </c>
      <c r="D35" s="43" t="inlineStr">
        <is>
          <t>Exact</t>
        </is>
      </c>
      <c r="E35" s="49" t="inlineStr">
        <is>
          <t>Yes</t>
        </is>
      </c>
      <c r="F35" s="43" t="n"/>
      <c r="G35" s="43" t="inlineStr">
        <is>
          <t>YELLOW</t>
        </is>
      </c>
      <c r="H35" s="43" t="inlineStr">
        <is>
          <t>Spec s4</t>
        </is>
      </c>
    </row>
    <row r="36" ht="15" customHeight="1" s="34">
      <c r="A36" s="43" t="n">
        <v>17</v>
      </c>
      <c r="B36" s="43" t="inlineStr">
        <is>
          <t>Windows/doors: warranty (years)</t>
        </is>
      </c>
      <c r="C36" s="43" t="inlineStr">
        <is>
          <t>Evaluated</t>
        </is>
      </c>
      <c r="D36" s="43" t="inlineStr">
        <is>
          <t>Min</t>
        </is>
      </c>
      <c r="E36" s="49" t="n">
        <v>5</v>
      </c>
      <c r="F36" s="43" t="n">
        <v>0</v>
      </c>
      <c r="G36" s="43" t="inlineStr">
        <is>
          <t>YELLOW</t>
        </is>
      </c>
      <c r="H36" s="43" t="inlineStr">
        <is>
          <t>Spec s8: 5 yrs, chamber certified</t>
        </is>
      </c>
    </row>
    <row r="37" ht="15" customHeight="1" s="34">
      <c r="A37" s="43" t="n">
        <v>18</v>
      </c>
      <c r="B37" s="43" t="inlineStr">
        <is>
          <t>Doors: profile thickness (mm)</t>
        </is>
      </c>
      <c r="C37" s="43" t="inlineStr">
        <is>
          <t>Mandatory</t>
        </is>
      </c>
      <c r="D37" s="43" t="inlineStr">
        <is>
          <t>Min</t>
        </is>
      </c>
      <c r="E37" s="49" t="n">
        <v>1.5</v>
      </c>
      <c r="F37" s="43" t="n">
        <v>0</v>
      </c>
      <c r="G37" s="43" t="inlineStr">
        <is>
          <t>RED</t>
        </is>
      </c>
      <c r="H37" s="43" t="inlineStr">
        <is>
          <t>Spec s2: min 1.5 mm</t>
        </is>
      </c>
    </row>
    <row r="38" ht="15" customHeight="1" s="34">
      <c r="A38" s="43" t="n">
        <v>19</v>
      </c>
      <c r="B38" s="43" t="inlineStr">
        <is>
          <t>Doors: glass total thickness (mm)</t>
        </is>
      </c>
      <c r="C38" s="43" t="inlineStr">
        <is>
          <t>Mandatory</t>
        </is>
      </c>
      <c r="D38" s="43" t="inlineStr">
        <is>
          <t>Min</t>
        </is>
      </c>
      <c r="E38" s="49" t="n">
        <v>24</v>
      </c>
      <c r="F38" s="43" t="n">
        <v>0</v>
      </c>
      <c r="G38" s="43" t="inlineStr">
        <is>
          <t>RED</t>
        </is>
      </c>
      <c r="H38" s="43" t="inlineStr">
        <is>
          <t>Spec s3: 24 mm</t>
        </is>
      </c>
    </row>
    <row r="39" ht="15" customHeight="1" s="34">
      <c r="A39" s="43" t="n">
        <v>20</v>
      </c>
      <c r="B39" s="43" t="inlineStr">
        <is>
          <t>Skylight: structure thickness (mm)</t>
        </is>
      </c>
      <c r="C39" s="43" t="inlineStr">
        <is>
          <t>Mandatory</t>
        </is>
      </c>
      <c r="D39" s="43" t="inlineStr">
        <is>
          <t>Min</t>
        </is>
      </c>
      <c r="E39" s="49" t="n">
        <v>3</v>
      </c>
      <c r="F39" s="43" t="n">
        <v>0</v>
      </c>
      <c r="G39" s="43" t="inlineStr">
        <is>
          <t>RED</t>
        </is>
      </c>
      <c r="H39" s="43" t="inlineStr">
        <is>
          <t>Skylight spec s2: min 3 mm</t>
        </is>
      </c>
    </row>
    <row r="40" ht="15" customHeight="1" s="34">
      <c r="A40" s="43" t="n">
        <v>21</v>
      </c>
      <c r="B40" s="43" t="inlineStr">
        <is>
          <t>Skylight: glass total thickness (mm)</t>
        </is>
      </c>
      <c r="C40" s="43" t="inlineStr">
        <is>
          <t>Mandatory</t>
        </is>
      </c>
      <c r="D40" s="43" t="inlineStr">
        <is>
          <t>Min</t>
        </is>
      </c>
      <c r="E40" s="49" t="n">
        <v>24</v>
      </c>
      <c r="F40" s="43" t="n">
        <v>0</v>
      </c>
      <c r="G40" s="43" t="inlineStr">
        <is>
          <t>RED</t>
        </is>
      </c>
      <c r="H40" s="43" t="inlineStr">
        <is>
          <t>Skylight spec s3: 24 mm</t>
        </is>
      </c>
    </row>
    <row r="41" ht="15" customHeight="1" s="34">
      <c r="A41" s="43" t="n">
        <v>22</v>
      </c>
      <c r="B41" s="43" t="inlineStr">
        <is>
          <t>Skylight: glass tempered</t>
        </is>
      </c>
      <c r="C41" s="43" t="inlineStr">
        <is>
          <t>Evaluated</t>
        </is>
      </c>
      <c r="D41" s="43" t="inlineStr">
        <is>
          <t>Exact</t>
        </is>
      </c>
      <c r="E41" s="49" t="inlineStr">
        <is>
          <t>Yes</t>
        </is>
      </c>
      <c r="F41" s="43" t="n"/>
      <c r="G41" s="43" t="inlineStr">
        <is>
          <t>YELLOW</t>
        </is>
      </c>
      <c r="H41" s="43" t="inlineStr">
        <is>
          <t>Skylight spec s3</t>
        </is>
      </c>
    </row>
    <row r="42" ht="15" customHeight="1" s="34">
      <c r="A42" s="43" t="n">
        <v>23</v>
      </c>
      <c r="B42" s="43" t="inlineStr">
        <is>
          <t>Skylight: structural silicone</t>
        </is>
      </c>
      <c r="C42" s="43" t="inlineStr">
        <is>
          <t>Evaluated</t>
        </is>
      </c>
      <c r="D42" s="43" t="inlineStr">
        <is>
          <t>Exact</t>
        </is>
      </c>
      <c r="E42" s="49" t="inlineStr">
        <is>
          <t>DC 995 or equivalent</t>
        </is>
      </c>
      <c r="F42" s="43" t="n"/>
      <c r="G42" s="43" t="inlineStr">
        <is>
          <t>YELLOW</t>
        </is>
      </c>
      <c r="H42" s="43" t="inlineStr">
        <is>
          <t>Skylight spec s4: equivalence needs technical approval</t>
        </is>
      </c>
    </row>
    <row r="43" ht="15" customHeight="1" s="34">
      <c r="A43" s="43" t="n">
        <v>24</v>
      </c>
      <c r="B43" s="43" t="inlineStr">
        <is>
          <t>Skylight: warranty (years)</t>
        </is>
      </c>
      <c r="C43" s="43" t="inlineStr">
        <is>
          <t>Evaluated</t>
        </is>
      </c>
      <c r="D43" s="43" t="inlineStr">
        <is>
          <t>Min</t>
        </is>
      </c>
      <c r="E43" s="49" t="n">
        <v>10</v>
      </c>
      <c r="F43" s="43" t="n">
        <v>0</v>
      </c>
      <c r="G43" s="43" t="inlineStr">
        <is>
          <t>YELLOW</t>
        </is>
      </c>
      <c r="H43" s="43" t="inlineStr">
        <is>
          <t>Skylight spec s6: 10 yrs</t>
        </is>
      </c>
    </row>
    <row r="44" ht="15" customHeight="1" s="34">
      <c r="A44" s="43" t="n"/>
      <c r="B44" s="43" t="n"/>
      <c r="C44" s="43" t="n"/>
      <c r="D44" s="43" t="n"/>
      <c r="E44" s="52" t="n"/>
      <c r="F44" s="43" t="n"/>
      <c r="G44" s="43" t="n"/>
      <c r="H44" s="43" t="n"/>
    </row>
    <row r="45" ht="15" customHeight="1" s="34">
      <c r="A45" s="43" t="n"/>
      <c r="B45" s="43" t="n"/>
      <c r="C45" s="43" t="n"/>
      <c r="D45" s="43" t="n"/>
      <c r="E45" s="52" t="n"/>
      <c r="F45" s="43" t="n"/>
      <c r="G45" s="43" t="n"/>
      <c r="H45" s="43" t="n"/>
    </row>
    <row r="46" ht="15" customHeight="1" s="34">
      <c r="A46" s="43" t="n"/>
      <c r="B46" s="43" t="n"/>
      <c r="C46" s="43" t="n"/>
      <c r="D46" s="43" t="n"/>
      <c r="E46" s="52" t="n"/>
      <c r="F46" s="43" t="n"/>
      <c r="G46" s="43" t="n"/>
      <c r="H46" s="43" t="n"/>
    </row>
    <row r="47" ht="15" customHeight="1" s="34">
      <c r="A47" s="43" t="n"/>
      <c r="B47" s="43" t="n"/>
      <c r="C47" s="43" t="n"/>
      <c r="D47" s="43" t="n"/>
      <c r="E47" s="52" t="n"/>
      <c r="F47" s="43" t="n"/>
      <c r="G47" s="43" t="n"/>
      <c r="H47" s="43" t="n"/>
    </row>
    <row r="48" ht="15" customHeight="1" s="34">
      <c r="A48" s="43" t="n"/>
      <c r="B48" s="43" t="n"/>
      <c r="C48" s="43" t="n"/>
      <c r="D48" s="43" t="n"/>
      <c r="E48" s="52" t="n"/>
      <c r="F48" s="43" t="n"/>
      <c r="G48" s="43" t="n"/>
      <c r="H48" s="43" t="n"/>
    </row>
    <row r="49" ht="15" customHeight="1" s="34">
      <c r="A49" s="43" t="n"/>
      <c r="B49" s="43" t="n"/>
      <c r="C49" s="43" t="n"/>
      <c r="D49" s="43" t="n"/>
      <c r="E49" s="52" t="n"/>
      <c r="F49" s="43" t="n"/>
      <c r="G49" s="43" t="n"/>
      <c r="H49" s="43" t="n"/>
    </row>
    <row r="50" ht="15" customHeight="1" s="34">
      <c r="A50" s="36" t="n"/>
      <c r="B50" s="36" t="n"/>
      <c r="C50" s="36" t="n"/>
      <c r="D50" s="36" t="n"/>
      <c r="E50" s="36" t="n"/>
      <c r="F50" s="36" t="n"/>
      <c r="G50" s="36" t="n"/>
      <c r="H50" s="36" t="n"/>
    </row>
    <row r="51" ht="15" customHeight="1" s="34">
      <c r="A51" s="37" t="inlineStr">
        <is>
          <t>Rules: Min = offered &gt;= target | Max = offered &lt;= target | Range = target +/- tolerance | Exact = text match. Tolerance gives a YELLOW band; beyond it the Fail result applies.</t>
        </is>
      </c>
      <c r="B51" s="36" t="n"/>
      <c r="C51" s="36" t="n"/>
      <c r="D51" s="36" t="n"/>
      <c r="E51" s="36" t="n"/>
      <c r="F51" s="36" t="n"/>
      <c r="G51" s="36" t="n"/>
      <c r="H51" s="36" t="n"/>
    </row>
  </sheetData>
  <dataValidations count="3">
    <dataValidation sqref="C20:C49" showDropDown="0" showInputMessage="0" showErrorMessage="0" allowBlank="1" type="list" errorStyle="stop" operator="between">
      <formula1>"Mandatory,Evaluated,Informational"</formula1>
      <formula2>0</formula2>
    </dataValidation>
    <dataValidation sqref="D20:D49" showDropDown="0" showInputMessage="0" showErrorMessage="0" allowBlank="1" type="list" errorStyle="stop" operator="between">
      <formula1>"Min,Max,Range,Exact"</formula1>
      <formula2>0</formula2>
    </dataValidation>
    <dataValidation sqref="G20:G49" showDropDown="0" showInputMessage="0" showErrorMessage="0" allowBlank="1" type="list" errorStyle="stop" operator="between">
      <formula1>"RED,YELLOW"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S3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33" min="1" max="1"/>
    <col width="6" customWidth="1" style="33" min="2" max="3"/>
    <col width="36" customWidth="1" style="33" min="4" max="4"/>
    <col width="13" customWidth="1" style="33" min="5" max="5"/>
    <col width="20" customWidth="1" style="33" min="6" max="6"/>
    <col width="14" customWidth="1" style="33" min="7" max="7"/>
    <col width="21" customWidth="1" style="33" min="8" max="8"/>
    <col width="40" customWidth="1" style="33" min="9" max="9"/>
    <col width="12" customWidth="1" style="33" min="10" max="11"/>
    <col width="13" customWidth="1" style="33" min="12" max="12"/>
    <col width="32" customWidth="1" style="33" min="13" max="13"/>
    <col width="8" customWidth="1" style="33" min="14" max="14"/>
    <col width="6" customWidth="1" style="33" min="15" max="15"/>
    <col width="8" customWidth="1" style="33" min="16" max="16"/>
    <col width="20" customWidth="1" style="33" min="17" max="17"/>
    <col width="9" customWidth="1" style="34" min="18" max="18"/>
    <col width="60" customWidth="1" style="34" min="19" max="19"/>
  </cols>
  <sheetData>
    <row r="1" ht="17.35" customHeight="1" s="34">
      <c r="A1" s="35" t="inlineStr">
        <is>
          <t>Supplier Submissions (append-only)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</row>
    <row r="2" ht="15" customHeight="1" s="34">
      <c r="A2" s="37" t="inlineStr">
        <is>
          <t>One row per supplier / revision / baseline line. Columns N-Q are helpers.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</row>
    <row r="3" ht="15" customHeight="1" s="34">
      <c r="A3" s="36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</row>
    <row r="4" ht="30" customHeight="1" s="34">
      <c r="A4" s="48" t="inlineStr">
        <is>
          <t>Supplier</t>
        </is>
      </c>
      <c r="B4" s="48" t="inlineStr">
        <is>
          <t>Rev</t>
        </is>
      </c>
      <c r="C4" s="48" t="inlineStr">
        <is>
          <t>Line</t>
        </is>
      </c>
      <c r="D4" s="48" t="inlineStr">
        <is>
          <t>Parameter</t>
        </is>
      </c>
      <c r="E4" s="48" t="inlineStr">
        <is>
          <t>Class</t>
        </is>
      </c>
      <c r="F4" s="48" t="inlineStr">
        <is>
          <t>Required</t>
        </is>
      </c>
      <c r="G4" s="48" t="inlineStr">
        <is>
          <t>Offered</t>
        </is>
      </c>
      <c r="H4" s="48" t="inlineStr">
        <is>
          <t>Declaration</t>
        </is>
      </c>
      <c r="I4" s="48" t="inlineStr">
        <is>
          <t>Justification</t>
        </is>
      </c>
      <c r="J4" s="48" t="inlineStr">
        <is>
          <t>Rule result</t>
        </is>
      </c>
      <c r="K4" s="48" t="inlineStr">
        <is>
          <t>Review class</t>
        </is>
      </c>
      <c r="L4" s="48" t="inlineStr">
        <is>
          <t>Final status</t>
        </is>
      </c>
      <c r="M4" s="48" t="inlineStr">
        <is>
          <t>Flag</t>
        </is>
      </c>
      <c r="N4" s="48" t="inlineStr">
        <is>
          <t>Rule</t>
        </is>
      </c>
      <c r="O4" s="48" t="inlineStr">
        <is>
          <t>Tol</t>
        </is>
      </c>
      <c r="P4" s="48" t="inlineStr">
        <is>
          <t>Fail</t>
        </is>
      </c>
      <c r="Q4" s="48" t="inlineStr">
        <is>
          <t>Key</t>
        </is>
      </c>
      <c r="R4" s="53" t="inlineStr">
        <is>
          <t>AI conf.</t>
        </is>
      </c>
      <c r="S4" s="53" t="inlineStr">
        <is>
          <t>Source (page: quote)</t>
        </is>
      </c>
    </row>
    <row r="5" ht="15" customHeight="1" s="34">
      <c r="A5" s="54" t="n"/>
      <c r="B5" s="54" t="n"/>
      <c r="C5" s="54" t="n"/>
      <c r="D5" s="55">
        <f>IF($A5="","",IFERROR(INDEX(Baseline!$B$20:$B$49,MATCH($C5,Baseline!$A$20:$A$49,0)),"Line not in baseline"))</f>
        <v/>
      </c>
      <c r="E5" s="55">
        <f>IF($A5="","",IFERROR(INDEX(Baseline!$C$20:$C$49,MATCH($C5,Baseline!$A$20:$A$49,0)),""))</f>
        <v/>
      </c>
      <c r="F5" s="56">
        <f>IF($A5="","",IFERROR(INDEX(Baseline!$E$20:$E$49,MATCH($C5,Baseline!$A$20:$A$49,0)),""))</f>
        <v/>
      </c>
      <c r="G5" s="57" t="n"/>
      <c r="H5" s="54" t="n"/>
      <c r="I5" s="54" t="n"/>
      <c r="J5" s="39">
        <f>IF($A5="","",IF($E5="Informational","GREEN",IF($G5="",IF($E5="Mandatory","RED","YELLOW"),IF($N5="Exact",IF(UPPER(TRIM($G5&amp;""))=UPPER(TRIM($F5&amp;"")),"GREEN",$P5),IF(NOT(ISNUMBER($G5)),$P5,IF($N5="Min",IF($G5&gt;=$F5,"GREEN",IF($G5&gt;=$F5-$O5,"YELLOW",$P5)),IF($N5="Max",IF($G5&lt;=$F5,"GREEN",IF($G5&lt;=$F5+$O5,"YELLOW",$P5)),IF($N5="Range",IF(ABS($G5-$F5)&lt;=$O5,"GREEN",$P5),"CHECK RULE"))))))))</f>
        <v/>
      </c>
      <c r="K5" s="39">
        <f>IF($A5="","",IF($H5="Non-Compliant","RED",IF(AND(OR($H5="Alternative Offer",$H5="Partially Compliant"),$J5="GREEN"),"YELLOW",IF(AND($J5="GREEN",ISNUMBER($R5),$R5&lt;Baseline!$B$9),"YELLOW",$J5))))</f>
        <v/>
      </c>
      <c r="L5" s="39">
        <f>IF($A5="","",IF($K5="GREEN","GREEN",IF(COUNTIFS(Exceptions!$B$5:$B$104,$A5,Exceptions!$C$5:$C$104,$B5,Exceptions!$D$5:$D$104,$C5,Exceptions!$G$5:$G$104,"Accepted",Exceptions!$H$5:$H$104,"&lt;&gt;")&gt;0,"CLEARED",$K5)))</f>
        <v/>
      </c>
      <c r="M5" s="39">
        <f>IF($A5="","",IF($H5="","Declaration missing",IF($H5="Not Stated","Not stated in quotation",IF(AND(ISNUMBER($R5),$R5&lt;Baseline!$B$9),"Low AI confidence - verify",IF(AND($H5="Fully Compliant",$J5&lt;&gt;"GREEN"),"Declared Fully - evidence differs","")))))</f>
        <v/>
      </c>
      <c r="N5" s="58">
        <f>IF($A5="","",IFERROR(INDEX(Baseline!$D$20:$D$49,MATCH($C5,Baseline!$A$20:$A$49,0)),""))</f>
        <v/>
      </c>
      <c r="O5" s="58">
        <f>IF($A5="","",IFERROR(INDEX(Baseline!$F$20:$F$49,MATCH($C5,Baseline!$A$20:$A$49,0)),0))</f>
        <v/>
      </c>
      <c r="P5" s="58">
        <f>IF($A5="","",IFERROR(INDEX(Baseline!$G$20:$G$49,MATCH($C5,Baseline!$A$20:$A$49,0)),"RED"))</f>
        <v/>
      </c>
      <c r="Q5" s="58">
        <f>IF($A5="","",$A5&amp;"|"&amp;$B5&amp;"|"&amp;$C5)</f>
        <v/>
      </c>
      <c r="R5" s="59" t="n"/>
      <c r="S5" s="60" t="n"/>
    </row>
    <row r="6" ht="15" customHeight="1" s="34">
      <c r="A6" s="54" t="n"/>
      <c r="B6" s="54" t="n"/>
      <c r="C6" s="54" t="n"/>
      <c r="D6" s="55">
        <f>IF($A6="","",IFERROR(INDEX(Baseline!$B$20:$B$49,MATCH($C6,Baseline!$A$20:$A$49,0)),"Line not in baseline"))</f>
        <v/>
      </c>
      <c r="E6" s="55">
        <f>IF($A6="","",IFERROR(INDEX(Baseline!$C$20:$C$49,MATCH($C6,Baseline!$A$20:$A$49,0)),""))</f>
        <v/>
      </c>
      <c r="F6" s="56">
        <f>IF($A6="","",IFERROR(INDEX(Baseline!$E$20:$E$49,MATCH($C6,Baseline!$A$20:$A$49,0)),""))</f>
        <v/>
      </c>
      <c r="G6" s="57" t="n"/>
      <c r="H6" s="54" t="n"/>
      <c r="I6" s="54" t="n"/>
      <c r="J6" s="39">
        <f>IF($A6="","",IF($E6="Informational","GREEN",IF($G6="",IF($E6="Mandatory","RED","YELLOW"),IF($N6="Exact",IF(UPPER(TRIM($G6&amp;""))=UPPER(TRIM($F6&amp;"")),"GREEN",$P6),IF(NOT(ISNUMBER($G6)),$P6,IF($N6="Min",IF($G6&gt;=$F6,"GREEN",IF($G6&gt;=$F6-$O6,"YELLOW",$P6)),IF($N6="Max",IF($G6&lt;=$F6,"GREEN",IF($G6&lt;=$F6+$O6,"YELLOW",$P6)),IF($N6="Range",IF(ABS($G6-$F6)&lt;=$O6,"GREEN",$P6),"CHECK RULE"))))))))</f>
        <v/>
      </c>
      <c r="K6" s="39">
        <f>IF($A6="","",IF($H6="Non-Compliant","RED",IF(AND(OR($H6="Alternative Offer",$H6="Partially Compliant"),$J6="GREEN"),"YELLOW",IF(AND($J6="GREEN",ISNUMBER($R6),$R6&lt;Baseline!$B$9),"YELLOW",$J6))))</f>
        <v/>
      </c>
      <c r="L6" s="39">
        <f>IF($A6="","",IF($K6="GREEN","GREEN",IF(COUNTIFS(Exceptions!$B$5:$B$104,$A6,Exceptions!$C$5:$C$104,$B6,Exceptions!$D$5:$D$104,$C6,Exceptions!$G$5:$G$104,"Accepted",Exceptions!$H$5:$H$104,"&lt;&gt;")&gt;0,"CLEARED",$K6)))</f>
        <v/>
      </c>
      <c r="M6" s="39">
        <f>IF($A6="","",IF($H6="","Declaration missing",IF($H6="Not Stated","Not stated in quotation",IF(AND(ISNUMBER($R6),$R6&lt;Baseline!$B$9),"Low AI confidence - verify",IF(AND($H6="Fully Compliant",$J6&lt;&gt;"GREEN"),"Declared Fully - evidence differs","")))))</f>
        <v/>
      </c>
      <c r="N6" s="58">
        <f>IF($A6="","",IFERROR(INDEX(Baseline!$D$20:$D$49,MATCH($C6,Baseline!$A$20:$A$49,0)),""))</f>
        <v/>
      </c>
      <c r="O6" s="58">
        <f>IF($A6="","",IFERROR(INDEX(Baseline!$F$20:$F$49,MATCH($C6,Baseline!$A$20:$A$49,0)),0))</f>
        <v/>
      </c>
      <c r="P6" s="58">
        <f>IF($A6="","",IFERROR(INDEX(Baseline!$G$20:$G$49,MATCH($C6,Baseline!$A$20:$A$49,0)),"RED"))</f>
        <v/>
      </c>
      <c r="Q6" s="58">
        <f>IF($A6="","",$A6&amp;"|"&amp;$B6&amp;"|"&amp;$C6)</f>
        <v/>
      </c>
      <c r="R6" s="59" t="n"/>
      <c r="S6" s="60" t="n"/>
    </row>
    <row r="7" ht="15" customHeight="1" s="34">
      <c r="A7" s="54" t="n"/>
      <c r="B7" s="54" t="n"/>
      <c r="C7" s="54" t="n"/>
      <c r="D7" s="55">
        <f>IF($A7="","",IFERROR(INDEX(Baseline!$B$20:$B$49,MATCH($C7,Baseline!$A$20:$A$49,0)),"Line not in baseline"))</f>
        <v/>
      </c>
      <c r="E7" s="55">
        <f>IF($A7="","",IFERROR(INDEX(Baseline!$C$20:$C$49,MATCH($C7,Baseline!$A$20:$A$49,0)),""))</f>
        <v/>
      </c>
      <c r="F7" s="56">
        <f>IF($A7="","",IFERROR(INDEX(Baseline!$E$20:$E$49,MATCH($C7,Baseline!$A$20:$A$49,0)),""))</f>
        <v/>
      </c>
      <c r="G7" s="57" t="n"/>
      <c r="H7" s="54" t="n"/>
      <c r="I7" s="54" t="n"/>
      <c r="J7" s="39">
        <f>IF($A7="","",IF($E7="Informational","GREEN",IF($G7="",IF($E7="Mandatory","RED","YELLOW"),IF($N7="Exact",IF(UPPER(TRIM($G7&amp;""))=UPPER(TRIM($F7&amp;"")),"GREEN",$P7),IF(NOT(ISNUMBER($G7)),$P7,IF($N7="Min",IF($G7&gt;=$F7,"GREEN",IF($G7&gt;=$F7-$O7,"YELLOW",$P7)),IF($N7="Max",IF($G7&lt;=$F7,"GREEN",IF($G7&lt;=$F7+$O7,"YELLOW",$P7)),IF($N7="Range",IF(ABS($G7-$F7)&lt;=$O7,"GREEN",$P7),"CHECK RULE"))))))))</f>
        <v/>
      </c>
      <c r="K7" s="39">
        <f>IF($A7="","",IF($H7="Non-Compliant","RED",IF(AND(OR($H7="Alternative Offer",$H7="Partially Compliant"),$J7="GREEN"),"YELLOW",IF(AND($J7="GREEN",ISNUMBER($R7),$R7&lt;Baseline!$B$9),"YELLOW",$J7))))</f>
        <v/>
      </c>
      <c r="L7" s="39">
        <f>IF($A7="","",IF($K7="GREEN","GREEN",IF(COUNTIFS(Exceptions!$B$5:$B$104,$A7,Exceptions!$C$5:$C$104,$B7,Exceptions!$D$5:$D$104,$C7,Exceptions!$G$5:$G$104,"Accepted",Exceptions!$H$5:$H$104,"&lt;&gt;")&gt;0,"CLEARED",$K7)))</f>
        <v/>
      </c>
      <c r="M7" s="39">
        <f>IF($A7="","",IF($H7="","Declaration missing",IF($H7="Not Stated","Not stated in quotation",IF(AND(ISNUMBER($R7),$R7&lt;Baseline!$B$9),"Low AI confidence - verify",IF(AND($H7="Fully Compliant",$J7&lt;&gt;"GREEN"),"Declared Fully - evidence differs","")))))</f>
        <v/>
      </c>
      <c r="N7" s="58">
        <f>IF($A7="","",IFERROR(INDEX(Baseline!$D$20:$D$49,MATCH($C7,Baseline!$A$20:$A$49,0)),""))</f>
        <v/>
      </c>
      <c r="O7" s="58">
        <f>IF($A7="","",IFERROR(INDEX(Baseline!$F$20:$F$49,MATCH($C7,Baseline!$A$20:$A$49,0)),0))</f>
        <v/>
      </c>
      <c r="P7" s="58">
        <f>IF($A7="","",IFERROR(INDEX(Baseline!$G$20:$G$49,MATCH($C7,Baseline!$A$20:$A$49,0)),"RED"))</f>
        <v/>
      </c>
      <c r="Q7" s="58">
        <f>IF($A7="","",$A7&amp;"|"&amp;$B7&amp;"|"&amp;$C7)</f>
        <v/>
      </c>
      <c r="R7" s="59" t="n"/>
      <c r="S7" s="60" t="n"/>
    </row>
    <row r="8" ht="15" customHeight="1" s="34">
      <c r="A8" s="54" t="n"/>
      <c r="B8" s="54" t="n"/>
      <c r="C8" s="54" t="n"/>
      <c r="D8" s="55">
        <f>IF($A8="","",IFERROR(INDEX(Baseline!$B$20:$B$49,MATCH($C8,Baseline!$A$20:$A$49,0)),"Line not in baseline"))</f>
        <v/>
      </c>
      <c r="E8" s="55">
        <f>IF($A8="","",IFERROR(INDEX(Baseline!$C$20:$C$49,MATCH($C8,Baseline!$A$20:$A$49,0)),""))</f>
        <v/>
      </c>
      <c r="F8" s="56">
        <f>IF($A8="","",IFERROR(INDEX(Baseline!$E$20:$E$49,MATCH($C8,Baseline!$A$20:$A$49,0)),""))</f>
        <v/>
      </c>
      <c r="G8" s="57" t="n"/>
      <c r="H8" s="54" t="n"/>
      <c r="I8" s="54" t="n"/>
      <c r="J8" s="39">
        <f>IF($A8="","",IF($E8="Informational","GREEN",IF($G8="",IF($E8="Mandatory","RED","YELLOW"),IF($N8="Exact",IF(UPPER(TRIM($G8&amp;""))=UPPER(TRIM($F8&amp;"")),"GREEN",$P8),IF(NOT(ISNUMBER($G8)),$P8,IF($N8="Min",IF($G8&gt;=$F8,"GREEN",IF($G8&gt;=$F8-$O8,"YELLOW",$P8)),IF($N8="Max",IF($G8&lt;=$F8,"GREEN",IF($G8&lt;=$F8+$O8,"YELLOW",$P8)),IF($N8="Range",IF(ABS($G8-$F8)&lt;=$O8,"GREEN",$P8),"CHECK RULE"))))))))</f>
        <v/>
      </c>
      <c r="K8" s="39">
        <f>IF($A8="","",IF($H8="Non-Compliant","RED",IF(AND(OR($H8="Alternative Offer",$H8="Partially Compliant"),$J8="GREEN"),"YELLOW",IF(AND($J8="GREEN",ISNUMBER($R8),$R8&lt;Baseline!$B$9),"YELLOW",$J8))))</f>
        <v/>
      </c>
      <c r="L8" s="39">
        <f>IF($A8="","",IF($K8="GREEN","GREEN",IF(COUNTIFS(Exceptions!$B$5:$B$104,$A8,Exceptions!$C$5:$C$104,$B8,Exceptions!$D$5:$D$104,$C8,Exceptions!$G$5:$G$104,"Accepted",Exceptions!$H$5:$H$104,"&lt;&gt;")&gt;0,"CLEARED",$K8)))</f>
        <v/>
      </c>
      <c r="M8" s="39">
        <f>IF($A8="","",IF($H8="","Declaration missing",IF($H8="Not Stated","Not stated in quotation",IF(AND(ISNUMBER($R8),$R8&lt;Baseline!$B$9),"Low AI confidence - verify",IF(AND($H8="Fully Compliant",$J8&lt;&gt;"GREEN"),"Declared Fully - evidence differs","")))))</f>
        <v/>
      </c>
      <c r="N8" s="58">
        <f>IF($A8="","",IFERROR(INDEX(Baseline!$D$20:$D$49,MATCH($C8,Baseline!$A$20:$A$49,0)),""))</f>
        <v/>
      </c>
      <c r="O8" s="58">
        <f>IF($A8="","",IFERROR(INDEX(Baseline!$F$20:$F$49,MATCH($C8,Baseline!$A$20:$A$49,0)),0))</f>
        <v/>
      </c>
      <c r="P8" s="58">
        <f>IF($A8="","",IFERROR(INDEX(Baseline!$G$20:$G$49,MATCH($C8,Baseline!$A$20:$A$49,0)),"RED"))</f>
        <v/>
      </c>
      <c r="Q8" s="58">
        <f>IF($A8="","",$A8&amp;"|"&amp;$B8&amp;"|"&amp;$C8)</f>
        <v/>
      </c>
      <c r="R8" s="59" t="n"/>
      <c r="S8" s="60" t="n"/>
    </row>
    <row r="9" ht="15" customHeight="1" s="34">
      <c r="A9" s="54" t="n"/>
      <c r="B9" s="54" t="n"/>
      <c r="C9" s="54" t="n"/>
      <c r="D9" s="55">
        <f>IF($A9="","",IFERROR(INDEX(Baseline!$B$20:$B$49,MATCH($C9,Baseline!$A$20:$A$49,0)),"Line not in baseline"))</f>
        <v/>
      </c>
      <c r="E9" s="55">
        <f>IF($A9="","",IFERROR(INDEX(Baseline!$C$20:$C$49,MATCH($C9,Baseline!$A$20:$A$49,0)),""))</f>
        <v/>
      </c>
      <c r="F9" s="56">
        <f>IF($A9="","",IFERROR(INDEX(Baseline!$E$20:$E$49,MATCH($C9,Baseline!$A$20:$A$49,0)),""))</f>
        <v/>
      </c>
      <c r="G9" s="57" t="n"/>
      <c r="H9" s="54" t="n"/>
      <c r="I9" s="54" t="n"/>
      <c r="J9" s="39">
        <f>IF($A9="","",IF($E9="Informational","GREEN",IF($G9="",IF($E9="Mandatory","RED","YELLOW"),IF($N9="Exact",IF(UPPER(TRIM($G9&amp;""))=UPPER(TRIM($F9&amp;"")),"GREEN",$P9),IF(NOT(ISNUMBER($G9)),$P9,IF($N9="Min",IF($G9&gt;=$F9,"GREEN",IF($G9&gt;=$F9-$O9,"YELLOW",$P9)),IF($N9="Max",IF($G9&lt;=$F9,"GREEN",IF($G9&lt;=$F9+$O9,"YELLOW",$P9)),IF($N9="Range",IF(ABS($G9-$F9)&lt;=$O9,"GREEN",$P9),"CHECK RULE"))))))))</f>
        <v/>
      </c>
      <c r="K9" s="39">
        <f>IF($A9="","",IF($H9="Non-Compliant","RED",IF(AND(OR($H9="Alternative Offer",$H9="Partially Compliant"),$J9="GREEN"),"YELLOW",IF(AND($J9="GREEN",ISNUMBER($R9),$R9&lt;Baseline!$B$9),"YELLOW",$J9))))</f>
        <v/>
      </c>
      <c r="L9" s="39">
        <f>IF($A9="","",IF($K9="GREEN","GREEN",IF(COUNTIFS(Exceptions!$B$5:$B$104,$A9,Exceptions!$C$5:$C$104,$B9,Exceptions!$D$5:$D$104,$C9,Exceptions!$G$5:$G$104,"Accepted",Exceptions!$H$5:$H$104,"&lt;&gt;")&gt;0,"CLEARED",$K9)))</f>
        <v/>
      </c>
      <c r="M9" s="39">
        <f>IF($A9="","",IF($H9="","Declaration missing",IF($H9="Not Stated","Not stated in quotation",IF(AND(ISNUMBER($R9),$R9&lt;Baseline!$B$9),"Low AI confidence - verify",IF(AND($H9="Fully Compliant",$J9&lt;&gt;"GREEN"),"Declared Fully - evidence differs","")))))</f>
        <v/>
      </c>
      <c r="N9" s="58">
        <f>IF($A9="","",IFERROR(INDEX(Baseline!$D$20:$D$49,MATCH($C9,Baseline!$A$20:$A$49,0)),""))</f>
        <v/>
      </c>
      <c r="O9" s="58">
        <f>IF($A9="","",IFERROR(INDEX(Baseline!$F$20:$F$49,MATCH($C9,Baseline!$A$20:$A$49,0)),0))</f>
        <v/>
      </c>
      <c r="P9" s="58">
        <f>IF($A9="","",IFERROR(INDEX(Baseline!$G$20:$G$49,MATCH($C9,Baseline!$A$20:$A$49,0)),"RED"))</f>
        <v/>
      </c>
      <c r="Q9" s="58">
        <f>IF($A9="","",$A9&amp;"|"&amp;$B9&amp;"|"&amp;$C9)</f>
        <v/>
      </c>
      <c r="R9" s="59" t="n"/>
      <c r="S9" s="60" t="n"/>
    </row>
    <row r="10" ht="15" customHeight="1" s="34">
      <c r="A10" s="54" t="n"/>
      <c r="B10" s="54" t="n"/>
      <c r="C10" s="54" t="n"/>
      <c r="D10" s="55">
        <f>IF($A10="","",IFERROR(INDEX(Baseline!$B$20:$B$49,MATCH($C10,Baseline!$A$20:$A$49,0)),"Line not in baseline"))</f>
        <v/>
      </c>
      <c r="E10" s="55">
        <f>IF($A10="","",IFERROR(INDEX(Baseline!$C$20:$C$49,MATCH($C10,Baseline!$A$20:$A$49,0)),""))</f>
        <v/>
      </c>
      <c r="F10" s="56">
        <f>IF($A10="","",IFERROR(INDEX(Baseline!$E$20:$E$49,MATCH($C10,Baseline!$A$20:$A$49,0)),""))</f>
        <v/>
      </c>
      <c r="G10" s="57" t="n"/>
      <c r="H10" s="54" t="n"/>
      <c r="I10" s="54" t="n"/>
      <c r="J10" s="39">
        <f>IF($A10="","",IF($E10="Informational","GREEN",IF($G10="",IF($E10="Mandatory","RED","YELLOW"),IF($N10="Exact",IF(UPPER(TRIM($G10&amp;""))=UPPER(TRIM($F10&amp;"")),"GREEN",$P10),IF(NOT(ISNUMBER($G10)),$P10,IF($N10="Min",IF($G10&gt;=$F10,"GREEN",IF($G10&gt;=$F10-$O10,"YELLOW",$P10)),IF($N10="Max",IF($G10&lt;=$F10,"GREEN",IF($G10&lt;=$F10+$O10,"YELLOW",$P10)),IF($N10="Range",IF(ABS($G10-$F10)&lt;=$O10,"GREEN",$P10),"CHECK RULE"))))))))</f>
        <v/>
      </c>
      <c r="K10" s="39">
        <f>IF($A10="","",IF($H10="Non-Compliant","RED",IF(AND(OR($H10="Alternative Offer",$H10="Partially Compliant"),$J10="GREEN"),"YELLOW",IF(AND($J10="GREEN",ISNUMBER($R10),$R10&lt;Baseline!$B$9),"YELLOW",$J10))))</f>
        <v/>
      </c>
      <c r="L10" s="39">
        <f>IF($A10="","",IF($K10="GREEN","GREEN",IF(COUNTIFS(Exceptions!$B$5:$B$104,$A10,Exceptions!$C$5:$C$104,$B10,Exceptions!$D$5:$D$104,$C10,Exceptions!$G$5:$G$104,"Accepted",Exceptions!$H$5:$H$104,"&lt;&gt;")&gt;0,"CLEARED",$K10)))</f>
        <v/>
      </c>
      <c r="M10" s="39">
        <f>IF($A10="","",IF($H10="","Declaration missing",IF($H10="Not Stated","Not stated in quotation",IF(AND(ISNUMBER($R10),$R10&lt;Baseline!$B$9),"Low AI confidence - verify",IF(AND($H10="Fully Compliant",$J10&lt;&gt;"GREEN"),"Declared Fully - evidence differs","")))))</f>
        <v/>
      </c>
      <c r="N10" s="58">
        <f>IF($A10="","",IFERROR(INDEX(Baseline!$D$20:$D$49,MATCH($C10,Baseline!$A$20:$A$49,0)),""))</f>
        <v/>
      </c>
      <c r="O10" s="58">
        <f>IF($A10="","",IFERROR(INDEX(Baseline!$F$20:$F$49,MATCH($C10,Baseline!$A$20:$A$49,0)),0))</f>
        <v/>
      </c>
      <c r="P10" s="58">
        <f>IF($A10="","",IFERROR(INDEX(Baseline!$G$20:$G$49,MATCH($C10,Baseline!$A$20:$A$49,0)),"RED"))</f>
        <v/>
      </c>
      <c r="Q10" s="58">
        <f>IF($A10="","",$A10&amp;"|"&amp;$B10&amp;"|"&amp;$C10)</f>
        <v/>
      </c>
      <c r="R10" s="59" t="n"/>
      <c r="S10" s="60" t="n"/>
    </row>
    <row r="11" ht="15" customHeight="1" s="34">
      <c r="A11" s="54" t="n"/>
      <c r="B11" s="54" t="n"/>
      <c r="C11" s="54" t="n"/>
      <c r="D11" s="55">
        <f>IF($A11="","",IFERROR(INDEX(Baseline!$B$20:$B$49,MATCH($C11,Baseline!$A$20:$A$49,0)),"Line not in baseline"))</f>
        <v/>
      </c>
      <c r="E11" s="55">
        <f>IF($A11="","",IFERROR(INDEX(Baseline!$C$20:$C$49,MATCH($C11,Baseline!$A$20:$A$49,0)),""))</f>
        <v/>
      </c>
      <c r="F11" s="56">
        <f>IF($A11="","",IFERROR(INDEX(Baseline!$E$20:$E$49,MATCH($C11,Baseline!$A$20:$A$49,0)),""))</f>
        <v/>
      </c>
      <c r="G11" s="57" t="n"/>
      <c r="H11" s="54" t="n"/>
      <c r="I11" s="54" t="n"/>
      <c r="J11" s="39">
        <f>IF($A11="","",IF($E11="Informational","GREEN",IF($G11="",IF($E11="Mandatory","RED","YELLOW"),IF($N11="Exact",IF(UPPER(TRIM($G11&amp;""))=UPPER(TRIM($F11&amp;"")),"GREEN",$P11),IF(NOT(ISNUMBER($G11)),$P11,IF($N11="Min",IF($G11&gt;=$F11,"GREEN",IF($G11&gt;=$F11-$O11,"YELLOW",$P11)),IF($N11="Max",IF($G11&lt;=$F11,"GREEN",IF($G11&lt;=$F11+$O11,"YELLOW",$P11)),IF($N11="Range",IF(ABS($G11-$F11)&lt;=$O11,"GREEN",$P11),"CHECK RULE"))))))))</f>
        <v/>
      </c>
      <c r="K11" s="39">
        <f>IF($A11="","",IF($H11="Non-Compliant","RED",IF(AND(OR($H11="Alternative Offer",$H11="Partially Compliant"),$J11="GREEN"),"YELLOW",IF(AND($J11="GREEN",ISNUMBER($R11),$R11&lt;Baseline!$B$9),"YELLOW",$J11))))</f>
        <v/>
      </c>
      <c r="L11" s="39">
        <f>IF($A11="","",IF($K11="GREEN","GREEN",IF(COUNTIFS(Exceptions!$B$5:$B$104,$A11,Exceptions!$C$5:$C$104,$B11,Exceptions!$D$5:$D$104,$C11,Exceptions!$G$5:$G$104,"Accepted",Exceptions!$H$5:$H$104,"&lt;&gt;")&gt;0,"CLEARED",$K11)))</f>
        <v/>
      </c>
      <c r="M11" s="39">
        <f>IF($A11="","",IF($H11="","Declaration missing",IF($H11="Not Stated","Not stated in quotation",IF(AND(ISNUMBER($R11),$R11&lt;Baseline!$B$9),"Low AI confidence - verify",IF(AND($H11="Fully Compliant",$J11&lt;&gt;"GREEN"),"Declared Fully - evidence differs","")))))</f>
        <v/>
      </c>
      <c r="N11" s="58">
        <f>IF($A11="","",IFERROR(INDEX(Baseline!$D$20:$D$49,MATCH($C11,Baseline!$A$20:$A$49,0)),""))</f>
        <v/>
      </c>
      <c r="O11" s="58">
        <f>IF($A11="","",IFERROR(INDEX(Baseline!$F$20:$F$49,MATCH($C11,Baseline!$A$20:$A$49,0)),0))</f>
        <v/>
      </c>
      <c r="P11" s="58">
        <f>IF($A11="","",IFERROR(INDEX(Baseline!$G$20:$G$49,MATCH($C11,Baseline!$A$20:$A$49,0)),"RED"))</f>
        <v/>
      </c>
      <c r="Q11" s="58">
        <f>IF($A11="","",$A11&amp;"|"&amp;$B11&amp;"|"&amp;$C11)</f>
        <v/>
      </c>
      <c r="R11" s="59" t="n"/>
      <c r="S11" s="60" t="n"/>
    </row>
    <row r="12" ht="15" customHeight="1" s="34">
      <c r="A12" s="54" t="n"/>
      <c r="B12" s="54" t="n"/>
      <c r="C12" s="54" t="n"/>
      <c r="D12" s="55">
        <f>IF($A12="","",IFERROR(INDEX(Baseline!$B$20:$B$49,MATCH($C12,Baseline!$A$20:$A$49,0)),"Line not in baseline"))</f>
        <v/>
      </c>
      <c r="E12" s="55">
        <f>IF($A12="","",IFERROR(INDEX(Baseline!$C$20:$C$49,MATCH($C12,Baseline!$A$20:$A$49,0)),""))</f>
        <v/>
      </c>
      <c r="F12" s="56">
        <f>IF($A12="","",IFERROR(INDEX(Baseline!$E$20:$E$49,MATCH($C12,Baseline!$A$20:$A$49,0)),""))</f>
        <v/>
      </c>
      <c r="G12" s="57" t="n"/>
      <c r="H12" s="54" t="n"/>
      <c r="I12" s="54" t="n"/>
      <c r="J12" s="39">
        <f>IF($A12="","",IF($E12="Informational","GREEN",IF($G12="",IF($E12="Mandatory","RED","YELLOW"),IF($N12="Exact",IF(UPPER(TRIM($G12&amp;""))=UPPER(TRIM($F12&amp;"")),"GREEN",$P12),IF(NOT(ISNUMBER($G12)),$P12,IF($N12="Min",IF($G12&gt;=$F12,"GREEN",IF($G12&gt;=$F12-$O12,"YELLOW",$P12)),IF($N12="Max",IF($G12&lt;=$F12,"GREEN",IF($G12&lt;=$F12+$O12,"YELLOW",$P12)),IF($N12="Range",IF(ABS($G12-$F12)&lt;=$O12,"GREEN",$P12),"CHECK RULE"))))))))</f>
        <v/>
      </c>
      <c r="K12" s="39">
        <f>IF($A12="","",IF($H12="Non-Compliant","RED",IF(AND(OR($H12="Alternative Offer",$H12="Partially Compliant"),$J12="GREEN"),"YELLOW",IF(AND($J12="GREEN",ISNUMBER($R12),$R12&lt;Baseline!$B$9),"YELLOW",$J12))))</f>
        <v/>
      </c>
      <c r="L12" s="39">
        <f>IF($A12="","",IF($K12="GREEN","GREEN",IF(COUNTIFS(Exceptions!$B$5:$B$104,$A12,Exceptions!$C$5:$C$104,$B12,Exceptions!$D$5:$D$104,$C12,Exceptions!$G$5:$G$104,"Accepted",Exceptions!$H$5:$H$104,"&lt;&gt;")&gt;0,"CLEARED",$K12)))</f>
        <v/>
      </c>
      <c r="M12" s="39">
        <f>IF($A12="","",IF($H12="","Declaration missing",IF($H12="Not Stated","Not stated in quotation",IF(AND(ISNUMBER($R12),$R12&lt;Baseline!$B$9),"Low AI confidence - verify",IF(AND($H12="Fully Compliant",$J12&lt;&gt;"GREEN"),"Declared Fully - evidence differs","")))))</f>
        <v/>
      </c>
      <c r="N12" s="58">
        <f>IF($A12="","",IFERROR(INDEX(Baseline!$D$20:$D$49,MATCH($C12,Baseline!$A$20:$A$49,0)),""))</f>
        <v/>
      </c>
      <c r="O12" s="58">
        <f>IF($A12="","",IFERROR(INDEX(Baseline!$F$20:$F$49,MATCH($C12,Baseline!$A$20:$A$49,0)),0))</f>
        <v/>
      </c>
      <c r="P12" s="58">
        <f>IF($A12="","",IFERROR(INDEX(Baseline!$G$20:$G$49,MATCH($C12,Baseline!$A$20:$A$49,0)),"RED"))</f>
        <v/>
      </c>
      <c r="Q12" s="58">
        <f>IF($A12="","",$A12&amp;"|"&amp;$B12&amp;"|"&amp;$C12)</f>
        <v/>
      </c>
      <c r="R12" s="59" t="n"/>
      <c r="S12" s="60" t="n"/>
    </row>
    <row r="13" ht="15" customHeight="1" s="34">
      <c r="A13" s="54" t="n"/>
      <c r="B13" s="54" t="n"/>
      <c r="C13" s="54" t="n"/>
      <c r="D13" s="55">
        <f>IF($A13="","",IFERROR(INDEX(Baseline!$B$20:$B$49,MATCH($C13,Baseline!$A$20:$A$49,0)),"Line not in baseline"))</f>
        <v/>
      </c>
      <c r="E13" s="55">
        <f>IF($A13="","",IFERROR(INDEX(Baseline!$C$20:$C$49,MATCH($C13,Baseline!$A$20:$A$49,0)),""))</f>
        <v/>
      </c>
      <c r="F13" s="56">
        <f>IF($A13="","",IFERROR(INDEX(Baseline!$E$20:$E$49,MATCH($C13,Baseline!$A$20:$A$49,0)),""))</f>
        <v/>
      </c>
      <c r="G13" s="57" t="n"/>
      <c r="H13" s="54" t="n"/>
      <c r="I13" s="54" t="n"/>
      <c r="J13" s="39">
        <f>IF($A13="","",IF($E13="Informational","GREEN",IF($G13="",IF($E13="Mandatory","RED","YELLOW"),IF($N13="Exact",IF(UPPER(TRIM($G13&amp;""))=UPPER(TRIM($F13&amp;"")),"GREEN",$P13),IF(NOT(ISNUMBER($G13)),$P13,IF($N13="Min",IF($G13&gt;=$F13,"GREEN",IF($G13&gt;=$F13-$O13,"YELLOW",$P13)),IF($N13="Max",IF($G13&lt;=$F13,"GREEN",IF($G13&lt;=$F13+$O13,"YELLOW",$P13)),IF($N13="Range",IF(ABS($G13-$F13)&lt;=$O13,"GREEN",$P13),"CHECK RULE"))))))))</f>
        <v/>
      </c>
      <c r="K13" s="39">
        <f>IF($A13="","",IF($H13="Non-Compliant","RED",IF(AND(OR($H13="Alternative Offer",$H13="Partially Compliant"),$J13="GREEN"),"YELLOW",IF(AND($J13="GREEN",ISNUMBER($R13),$R13&lt;Baseline!$B$9),"YELLOW",$J13))))</f>
        <v/>
      </c>
      <c r="L13" s="39">
        <f>IF($A13="","",IF($K13="GREEN","GREEN",IF(COUNTIFS(Exceptions!$B$5:$B$104,$A13,Exceptions!$C$5:$C$104,$B13,Exceptions!$D$5:$D$104,$C13,Exceptions!$G$5:$G$104,"Accepted",Exceptions!$H$5:$H$104,"&lt;&gt;")&gt;0,"CLEARED",$K13)))</f>
        <v/>
      </c>
      <c r="M13" s="39">
        <f>IF($A13="","",IF($H13="","Declaration missing",IF($H13="Not Stated","Not stated in quotation",IF(AND(ISNUMBER($R13),$R13&lt;Baseline!$B$9),"Low AI confidence - verify",IF(AND($H13="Fully Compliant",$J13&lt;&gt;"GREEN"),"Declared Fully - evidence differs","")))))</f>
        <v/>
      </c>
      <c r="N13" s="58">
        <f>IF($A13="","",IFERROR(INDEX(Baseline!$D$20:$D$49,MATCH($C13,Baseline!$A$20:$A$49,0)),""))</f>
        <v/>
      </c>
      <c r="O13" s="58">
        <f>IF($A13="","",IFERROR(INDEX(Baseline!$F$20:$F$49,MATCH($C13,Baseline!$A$20:$A$49,0)),0))</f>
        <v/>
      </c>
      <c r="P13" s="58">
        <f>IF($A13="","",IFERROR(INDEX(Baseline!$G$20:$G$49,MATCH($C13,Baseline!$A$20:$A$49,0)),"RED"))</f>
        <v/>
      </c>
      <c r="Q13" s="58">
        <f>IF($A13="","",$A13&amp;"|"&amp;$B13&amp;"|"&amp;$C13)</f>
        <v/>
      </c>
      <c r="R13" s="59" t="n"/>
      <c r="S13" s="60" t="n"/>
    </row>
    <row r="14" ht="15" customHeight="1" s="34">
      <c r="A14" s="54" t="n"/>
      <c r="B14" s="54" t="n"/>
      <c r="C14" s="54" t="n"/>
      <c r="D14" s="55">
        <f>IF($A14="","",IFERROR(INDEX(Baseline!$B$20:$B$49,MATCH($C14,Baseline!$A$20:$A$49,0)),"Line not in baseline"))</f>
        <v/>
      </c>
      <c r="E14" s="55">
        <f>IF($A14="","",IFERROR(INDEX(Baseline!$C$20:$C$49,MATCH($C14,Baseline!$A$20:$A$49,0)),""))</f>
        <v/>
      </c>
      <c r="F14" s="56">
        <f>IF($A14="","",IFERROR(INDEX(Baseline!$E$20:$E$49,MATCH($C14,Baseline!$A$20:$A$49,0)),""))</f>
        <v/>
      </c>
      <c r="G14" s="57" t="n"/>
      <c r="H14" s="54" t="n"/>
      <c r="I14" s="54" t="n"/>
      <c r="J14" s="39">
        <f>IF($A14="","",IF($E14="Informational","GREEN",IF($G14="",IF($E14="Mandatory","RED","YELLOW"),IF($N14="Exact",IF(UPPER(TRIM($G14&amp;""))=UPPER(TRIM($F14&amp;"")),"GREEN",$P14),IF(NOT(ISNUMBER($G14)),$P14,IF($N14="Min",IF($G14&gt;=$F14,"GREEN",IF($G14&gt;=$F14-$O14,"YELLOW",$P14)),IF($N14="Max",IF($G14&lt;=$F14,"GREEN",IF($G14&lt;=$F14+$O14,"YELLOW",$P14)),IF($N14="Range",IF(ABS($G14-$F14)&lt;=$O14,"GREEN",$P14),"CHECK RULE"))))))))</f>
        <v/>
      </c>
      <c r="K14" s="39">
        <f>IF($A14="","",IF($H14="Non-Compliant","RED",IF(AND(OR($H14="Alternative Offer",$H14="Partially Compliant"),$J14="GREEN"),"YELLOW",IF(AND($J14="GREEN",ISNUMBER($R14),$R14&lt;Baseline!$B$9),"YELLOW",$J14))))</f>
        <v/>
      </c>
      <c r="L14" s="39">
        <f>IF($A14="","",IF($K14="GREEN","GREEN",IF(COUNTIFS(Exceptions!$B$5:$B$104,$A14,Exceptions!$C$5:$C$104,$B14,Exceptions!$D$5:$D$104,$C14,Exceptions!$G$5:$G$104,"Accepted",Exceptions!$H$5:$H$104,"&lt;&gt;")&gt;0,"CLEARED",$K14)))</f>
        <v/>
      </c>
      <c r="M14" s="39">
        <f>IF($A14="","",IF($H14="","Declaration missing",IF($H14="Not Stated","Not stated in quotation",IF(AND(ISNUMBER($R14),$R14&lt;Baseline!$B$9),"Low AI confidence - verify",IF(AND($H14="Fully Compliant",$J14&lt;&gt;"GREEN"),"Declared Fully - evidence differs","")))))</f>
        <v/>
      </c>
      <c r="N14" s="58">
        <f>IF($A14="","",IFERROR(INDEX(Baseline!$D$20:$D$49,MATCH($C14,Baseline!$A$20:$A$49,0)),""))</f>
        <v/>
      </c>
      <c r="O14" s="58">
        <f>IF($A14="","",IFERROR(INDEX(Baseline!$F$20:$F$49,MATCH($C14,Baseline!$A$20:$A$49,0)),0))</f>
        <v/>
      </c>
      <c r="P14" s="58">
        <f>IF($A14="","",IFERROR(INDEX(Baseline!$G$20:$G$49,MATCH($C14,Baseline!$A$20:$A$49,0)),"RED"))</f>
        <v/>
      </c>
      <c r="Q14" s="58">
        <f>IF($A14="","",$A14&amp;"|"&amp;$B14&amp;"|"&amp;$C14)</f>
        <v/>
      </c>
      <c r="R14" s="59" t="n"/>
      <c r="S14" s="60" t="n"/>
    </row>
    <row r="15" ht="15" customHeight="1" s="34">
      <c r="A15" s="54" t="n"/>
      <c r="B15" s="54" t="n"/>
      <c r="C15" s="54" t="n"/>
      <c r="D15" s="55">
        <f>IF($A15="","",IFERROR(INDEX(Baseline!$B$20:$B$49,MATCH($C15,Baseline!$A$20:$A$49,0)),"Line not in baseline"))</f>
        <v/>
      </c>
      <c r="E15" s="55">
        <f>IF($A15="","",IFERROR(INDEX(Baseline!$C$20:$C$49,MATCH($C15,Baseline!$A$20:$A$49,0)),""))</f>
        <v/>
      </c>
      <c r="F15" s="56">
        <f>IF($A15="","",IFERROR(INDEX(Baseline!$E$20:$E$49,MATCH($C15,Baseline!$A$20:$A$49,0)),""))</f>
        <v/>
      </c>
      <c r="G15" s="57" t="n"/>
      <c r="H15" s="54" t="n"/>
      <c r="I15" s="54" t="n"/>
      <c r="J15" s="39">
        <f>IF($A15="","",IF($E15="Informational","GREEN",IF($G15="",IF($E15="Mandatory","RED","YELLOW"),IF($N15="Exact",IF(UPPER(TRIM($G15&amp;""))=UPPER(TRIM($F15&amp;"")),"GREEN",$P15),IF(NOT(ISNUMBER($G15)),$P15,IF($N15="Min",IF($G15&gt;=$F15,"GREEN",IF($G15&gt;=$F15-$O15,"YELLOW",$P15)),IF($N15="Max",IF($G15&lt;=$F15,"GREEN",IF($G15&lt;=$F15+$O15,"YELLOW",$P15)),IF($N15="Range",IF(ABS($G15-$F15)&lt;=$O15,"GREEN",$P15),"CHECK RULE"))))))))</f>
        <v/>
      </c>
      <c r="K15" s="39">
        <f>IF($A15="","",IF($H15="Non-Compliant","RED",IF(AND(OR($H15="Alternative Offer",$H15="Partially Compliant"),$J15="GREEN"),"YELLOW",IF(AND($J15="GREEN",ISNUMBER($R15),$R15&lt;Baseline!$B$9),"YELLOW",$J15))))</f>
        <v/>
      </c>
      <c r="L15" s="39">
        <f>IF($A15="","",IF($K15="GREEN","GREEN",IF(COUNTIFS(Exceptions!$B$5:$B$104,$A15,Exceptions!$C$5:$C$104,$B15,Exceptions!$D$5:$D$104,$C15,Exceptions!$G$5:$G$104,"Accepted",Exceptions!$H$5:$H$104,"&lt;&gt;")&gt;0,"CLEARED",$K15)))</f>
        <v/>
      </c>
      <c r="M15" s="39">
        <f>IF($A15="","",IF($H15="","Declaration missing",IF($H15="Not Stated","Not stated in quotation",IF(AND(ISNUMBER($R15),$R15&lt;Baseline!$B$9),"Low AI confidence - verify",IF(AND($H15="Fully Compliant",$J15&lt;&gt;"GREEN"),"Declared Fully - evidence differs","")))))</f>
        <v/>
      </c>
      <c r="N15" s="58">
        <f>IF($A15="","",IFERROR(INDEX(Baseline!$D$20:$D$49,MATCH($C15,Baseline!$A$20:$A$49,0)),""))</f>
        <v/>
      </c>
      <c r="O15" s="58">
        <f>IF($A15="","",IFERROR(INDEX(Baseline!$F$20:$F$49,MATCH($C15,Baseline!$A$20:$A$49,0)),0))</f>
        <v/>
      </c>
      <c r="P15" s="58">
        <f>IF($A15="","",IFERROR(INDEX(Baseline!$G$20:$G$49,MATCH($C15,Baseline!$A$20:$A$49,0)),"RED"))</f>
        <v/>
      </c>
      <c r="Q15" s="58">
        <f>IF($A15="","",$A15&amp;"|"&amp;$B15&amp;"|"&amp;$C15)</f>
        <v/>
      </c>
      <c r="R15" s="59" t="n"/>
      <c r="S15" s="60" t="n"/>
    </row>
    <row r="16" ht="15" customHeight="1" s="34">
      <c r="A16" s="54" t="n"/>
      <c r="B16" s="54" t="n"/>
      <c r="C16" s="54" t="n"/>
      <c r="D16" s="55">
        <f>IF($A16="","",IFERROR(INDEX(Baseline!$B$20:$B$49,MATCH($C16,Baseline!$A$20:$A$49,0)),"Line not in baseline"))</f>
        <v/>
      </c>
      <c r="E16" s="55">
        <f>IF($A16="","",IFERROR(INDEX(Baseline!$C$20:$C$49,MATCH($C16,Baseline!$A$20:$A$49,0)),""))</f>
        <v/>
      </c>
      <c r="F16" s="56">
        <f>IF($A16="","",IFERROR(INDEX(Baseline!$E$20:$E$49,MATCH($C16,Baseline!$A$20:$A$49,0)),""))</f>
        <v/>
      </c>
      <c r="G16" s="57" t="n"/>
      <c r="H16" s="54" t="n"/>
      <c r="I16" s="54" t="n"/>
      <c r="J16" s="39">
        <f>IF($A16="","",IF($E16="Informational","GREEN",IF($G16="",IF($E16="Mandatory","RED","YELLOW"),IF($N16="Exact",IF(UPPER(TRIM($G16&amp;""))=UPPER(TRIM($F16&amp;"")),"GREEN",$P16),IF(NOT(ISNUMBER($G16)),$P16,IF($N16="Min",IF($G16&gt;=$F16,"GREEN",IF($G16&gt;=$F16-$O16,"YELLOW",$P16)),IF($N16="Max",IF($G16&lt;=$F16,"GREEN",IF($G16&lt;=$F16+$O16,"YELLOW",$P16)),IF($N16="Range",IF(ABS($G16-$F16)&lt;=$O16,"GREEN",$P16),"CHECK RULE"))))))))</f>
        <v/>
      </c>
      <c r="K16" s="39">
        <f>IF($A16="","",IF($H16="Non-Compliant","RED",IF(AND(OR($H16="Alternative Offer",$H16="Partially Compliant"),$J16="GREEN"),"YELLOW",IF(AND($J16="GREEN",ISNUMBER($R16),$R16&lt;Baseline!$B$9),"YELLOW",$J16))))</f>
        <v/>
      </c>
      <c r="L16" s="39">
        <f>IF($A16="","",IF($K16="GREEN","GREEN",IF(COUNTIFS(Exceptions!$B$5:$B$104,$A16,Exceptions!$C$5:$C$104,$B16,Exceptions!$D$5:$D$104,$C16,Exceptions!$G$5:$G$104,"Accepted",Exceptions!$H$5:$H$104,"&lt;&gt;")&gt;0,"CLEARED",$K16)))</f>
        <v/>
      </c>
      <c r="M16" s="39">
        <f>IF($A16="","",IF($H16="","Declaration missing",IF($H16="Not Stated","Not stated in quotation",IF(AND(ISNUMBER($R16),$R16&lt;Baseline!$B$9),"Low AI confidence - verify",IF(AND($H16="Fully Compliant",$J16&lt;&gt;"GREEN"),"Declared Fully - evidence differs","")))))</f>
        <v/>
      </c>
      <c r="N16" s="58">
        <f>IF($A16="","",IFERROR(INDEX(Baseline!$D$20:$D$49,MATCH($C16,Baseline!$A$20:$A$49,0)),""))</f>
        <v/>
      </c>
      <c r="O16" s="58">
        <f>IF($A16="","",IFERROR(INDEX(Baseline!$F$20:$F$49,MATCH($C16,Baseline!$A$20:$A$49,0)),0))</f>
        <v/>
      </c>
      <c r="P16" s="58">
        <f>IF($A16="","",IFERROR(INDEX(Baseline!$G$20:$G$49,MATCH($C16,Baseline!$A$20:$A$49,0)),"RED"))</f>
        <v/>
      </c>
      <c r="Q16" s="58">
        <f>IF($A16="","",$A16&amp;"|"&amp;$B16&amp;"|"&amp;$C16)</f>
        <v/>
      </c>
      <c r="R16" s="59" t="n"/>
      <c r="S16" s="60" t="n"/>
    </row>
    <row r="17" ht="15" customHeight="1" s="34">
      <c r="A17" s="54" t="n"/>
      <c r="B17" s="54" t="n"/>
      <c r="C17" s="54" t="n"/>
      <c r="D17" s="55">
        <f>IF($A17="","",IFERROR(INDEX(Baseline!$B$20:$B$49,MATCH($C17,Baseline!$A$20:$A$49,0)),"Line not in baseline"))</f>
        <v/>
      </c>
      <c r="E17" s="55">
        <f>IF($A17="","",IFERROR(INDEX(Baseline!$C$20:$C$49,MATCH($C17,Baseline!$A$20:$A$49,0)),""))</f>
        <v/>
      </c>
      <c r="F17" s="56">
        <f>IF($A17="","",IFERROR(INDEX(Baseline!$E$20:$E$49,MATCH($C17,Baseline!$A$20:$A$49,0)),""))</f>
        <v/>
      </c>
      <c r="G17" s="57" t="n"/>
      <c r="H17" s="54" t="n"/>
      <c r="I17" s="54" t="n"/>
      <c r="J17" s="39">
        <f>IF($A17="","",IF($E17="Informational","GREEN",IF($G17="",IF($E17="Mandatory","RED","YELLOW"),IF($N17="Exact",IF(UPPER(TRIM($G17&amp;""))=UPPER(TRIM($F17&amp;"")),"GREEN",$P17),IF(NOT(ISNUMBER($G17)),$P17,IF($N17="Min",IF($G17&gt;=$F17,"GREEN",IF($G17&gt;=$F17-$O17,"YELLOW",$P17)),IF($N17="Max",IF($G17&lt;=$F17,"GREEN",IF($G17&lt;=$F17+$O17,"YELLOW",$P17)),IF($N17="Range",IF(ABS($G17-$F17)&lt;=$O17,"GREEN",$P17),"CHECK RULE"))))))))</f>
        <v/>
      </c>
      <c r="K17" s="39">
        <f>IF($A17="","",IF($H17="Non-Compliant","RED",IF(AND(OR($H17="Alternative Offer",$H17="Partially Compliant"),$J17="GREEN"),"YELLOW",IF(AND($J17="GREEN",ISNUMBER($R17),$R17&lt;Baseline!$B$9),"YELLOW",$J17))))</f>
        <v/>
      </c>
      <c r="L17" s="39">
        <f>IF($A17="","",IF($K17="GREEN","GREEN",IF(COUNTIFS(Exceptions!$B$5:$B$104,$A17,Exceptions!$C$5:$C$104,$B17,Exceptions!$D$5:$D$104,$C17,Exceptions!$G$5:$G$104,"Accepted",Exceptions!$H$5:$H$104,"&lt;&gt;")&gt;0,"CLEARED",$K17)))</f>
        <v/>
      </c>
      <c r="M17" s="39">
        <f>IF($A17="","",IF($H17="","Declaration missing",IF($H17="Not Stated","Not stated in quotation",IF(AND(ISNUMBER($R17),$R17&lt;Baseline!$B$9),"Low AI confidence - verify",IF(AND($H17="Fully Compliant",$J17&lt;&gt;"GREEN"),"Declared Fully - evidence differs","")))))</f>
        <v/>
      </c>
      <c r="N17" s="58">
        <f>IF($A17="","",IFERROR(INDEX(Baseline!$D$20:$D$49,MATCH($C17,Baseline!$A$20:$A$49,0)),""))</f>
        <v/>
      </c>
      <c r="O17" s="58">
        <f>IF($A17="","",IFERROR(INDEX(Baseline!$F$20:$F$49,MATCH($C17,Baseline!$A$20:$A$49,0)),0))</f>
        <v/>
      </c>
      <c r="P17" s="58">
        <f>IF($A17="","",IFERROR(INDEX(Baseline!$G$20:$G$49,MATCH($C17,Baseline!$A$20:$A$49,0)),"RED"))</f>
        <v/>
      </c>
      <c r="Q17" s="58">
        <f>IF($A17="","",$A17&amp;"|"&amp;$B17&amp;"|"&amp;$C17)</f>
        <v/>
      </c>
      <c r="R17" s="59" t="n"/>
      <c r="S17" s="60" t="n"/>
    </row>
    <row r="18" ht="15" customHeight="1" s="34">
      <c r="A18" s="54" t="n"/>
      <c r="B18" s="54" t="n"/>
      <c r="C18" s="54" t="n"/>
      <c r="D18" s="55">
        <f>IF($A18="","",IFERROR(INDEX(Baseline!$B$20:$B$49,MATCH($C18,Baseline!$A$20:$A$49,0)),"Line not in baseline"))</f>
        <v/>
      </c>
      <c r="E18" s="55">
        <f>IF($A18="","",IFERROR(INDEX(Baseline!$C$20:$C$49,MATCH($C18,Baseline!$A$20:$A$49,0)),""))</f>
        <v/>
      </c>
      <c r="F18" s="56">
        <f>IF($A18="","",IFERROR(INDEX(Baseline!$E$20:$E$49,MATCH($C18,Baseline!$A$20:$A$49,0)),""))</f>
        <v/>
      </c>
      <c r="G18" s="57" t="n"/>
      <c r="H18" s="54" t="n"/>
      <c r="I18" s="54" t="n"/>
      <c r="J18" s="39">
        <f>IF($A18="","",IF($E18="Informational","GREEN",IF($G18="",IF($E18="Mandatory","RED","YELLOW"),IF($N18="Exact",IF(UPPER(TRIM($G18&amp;""))=UPPER(TRIM($F18&amp;"")),"GREEN",$P18),IF(NOT(ISNUMBER($G18)),$P18,IF($N18="Min",IF($G18&gt;=$F18,"GREEN",IF($G18&gt;=$F18-$O18,"YELLOW",$P18)),IF($N18="Max",IF($G18&lt;=$F18,"GREEN",IF($G18&lt;=$F18+$O18,"YELLOW",$P18)),IF($N18="Range",IF(ABS($G18-$F18)&lt;=$O18,"GREEN",$P18),"CHECK RULE"))))))))</f>
        <v/>
      </c>
      <c r="K18" s="39">
        <f>IF($A18="","",IF($H18="Non-Compliant","RED",IF(AND(OR($H18="Alternative Offer",$H18="Partially Compliant"),$J18="GREEN"),"YELLOW",IF(AND($J18="GREEN",ISNUMBER($R18),$R18&lt;Baseline!$B$9),"YELLOW",$J18))))</f>
        <v/>
      </c>
      <c r="L18" s="39">
        <f>IF($A18="","",IF($K18="GREEN","GREEN",IF(COUNTIFS(Exceptions!$B$5:$B$104,$A18,Exceptions!$C$5:$C$104,$B18,Exceptions!$D$5:$D$104,$C18,Exceptions!$G$5:$G$104,"Accepted",Exceptions!$H$5:$H$104,"&lt;&gt;")&gt;0,"CLEARED",$K18)))</f>
        <v/>
      </c>
      <c r="M18" s="39">
        <f>IF($A18="","",IF($H18="","Declaration missing",IF($H18="Not Stated","Not stated in quotation",IF(AND(ISNUMBER($R18),$R18&lt;Baseline!$B$9),"Low AI confidence - verify",IF(AND($H18="Fully Compliant",$J18&lt;&gt;"GREEN"),"Declared Fully - evidence differs","")))))</f>
        <v/>
      </c>
      <c r="N18" s="58">
        <f>IF($A18="","",IFERROR(INDEX(Baseline!$D$20:$D$49,MATCH($C18,Baseline!$A$20:$A$49,0)),""))</f>
        <v/>
      </c>
      <c r="O18" s="58">
        <f>IF($A18="","",IFERROR(INDEX(Baseline!$F$20:$F$49,MATCH($C18,Baseline!$A$20:$A$49,0)),0))</f>
        <v/>
      </c>
      <c r="P18" s="58">
        <f>IF($A18="","",IFERROR(INDEX(Baseline!$G$20:$G$49,MATCH($C18,Baseline!$A$20:$A$49,0)),"RED"))</f>
        <v/>
      </c>
      <c r="Q18" s="58">
        <f>IF($A18="","",$A18&amp;"|"&amp;$B18&amp;"|"&amp;$C18)</f>
        <v/>
      </c>
      <c r="R18" s="59" t="n"/>
      <c r="S18" s="60" t="n"/>
    </row>
    <row r="19" ht="15" customHeight="1" s="34">
      <c r="A19" s="54" t="n"/>
      <c r="B19" s="54" t="n"/>
      <c r="C19" s="54" t="n"/>
      <c r="D19" s="55">
        <f>IF($A19="","",IFERROR(INDEX(Baseline!$B$20:$B$49,MATCH($C19,Baseline!$A$20:$A$49,0)),"Line not in baseline"))</f>
        <v/>
      </c>
      <c r="E19" s="55">
        <f>IF($A19="","",IFERROR(INDEX(Baseline!$C$20:$C$49,MATCH($C19,Baseline!$A$20:$A$49,0)),""))</f>
        <v/>
      </c>
      <c r="F19" s="56">
        <f>IF($A19="","",IFERROR(INDEX(Baseline!$E$20:$E$49,MATCH($C19,Baseline!$A$20:$A$49,0)),""))</f>
        <v/>
      </c>
      <c r="G19" s="57" t="n"/>
      <c r="H19" s="54" t="n"/>
      <c r="I19" s="54" t="n"/>
      <c r="J19" s="39">
        <f>IF($A19="","",IF($E19="Informational","GREEN",IF($G19="",IF($E19="Mandatory","RED","YELLOW"),IF($N19="Exact",IF(UPPER(TRIM($G19&amp;""))=UPPER(TRIM($F19&amp;"")),"GREEN",$P19),IF(NOT(ISNUMBER($G19)),$P19,IF($N19="Min",IF($G19&gt;=$F19,"GREEN",IF($G19&gt;=$F19-$O19,"YELLOW",$P19)),IF($N19="Max",IF($G19&lt;=$F19,"GREEN",IF($G19&lt;=$F19+$O19,"YELLOW",$P19)),IF($N19="Range",IF(ABS($G19-$F19)&lt;=$O19,"GREEN",$P19),"CHECK RULE"))))))))</f>
        <v/>
      </c>
      <c r="K19" s="39">
        <f>IF($A19="","",IF($H19="Non-Compliant","RED",IF(AND(OR($H19="Alternative Offer",$H19="Partially Compliant"),$J19="GREEN"),"YELLOW",IF(AND($J19="GREEN",ISNUMBER($R19),$R19&lt;Baseline!$B$9),"YELLOW",$J19))))</f>
        <v/>
      </c>
      <c r="L19" s="39">
        <f>IF($A19="","",IF($K19="GREEN","GREEN",IF(COUNTIFS(Exceptions!$B$5:$B$104,$A19,Exceptions!$C$5:$C$104,$B19,Exceptions!$D$5:$D$104,$C19,Exceptions!$G$5:$G$104,"Accepted",Exceptions!$H$5:$H$104,"&lt;&gt;")&gt;0,"CLEARED",$K19)))</f>
        <v/>
      </c>
      <c r="M19" s="39">
        <f>IF($A19="","",IF($H19="","Declaration missing",IF($H19="Not Stated","Not stated in quotation",IF(AND(ISNUMBER($R19),$R19&lt;Baseline!$B$9),"Low AI confidence - verify",IF(AND($H19="Fully Compliant",$J19&lt;&gt;"GREEN"),"Declared Fully - evidence differs","")))))</f>
        <v/>
      </c>
      <c r="N19" s="58">
        <f>IF($A19="","",IFERROR(INDEX(Baseline!$D$20:$D$49,MATCH($C19,Baseline!$A$20:$A$49,0)),""))</f>
        <v/>
      </c>
      <c r="O19" s="58">
        <f>IF($A19="","",IFERROR(INDEX(Baseline!$F$20:$F$49,MATCH($C19,Baseline!$A$20:$A$49,0)),0))</f>
        <v/>
      </c>
      <c r="P19" s="58">
        <f>IF($A19="","",IFERROR(INDEX(Baseline!$G$20:$G$49,MATCH($C19,Baseline!$A$20:$A$49,0)),"RED"))</f>
        <v/>
      </c>
      <c r="Q19" s="58">
        <f>IF($A19="","",$A19&amp;"|"&amp;$B19&amp;"|"&amp;$C19)</f>
        <v/>
      </c>
      <c r="R19" s="59" t="n"/>
      <c r="S19" s="60" t="n"/>
    </row>
    <row r="20" ht="15" customHeight="1" s="34">
      <c r="A20" s="54" t="n"/>
      <c r="B20" s="54" t="n"/>
      <c r="C20" s="54" t="n"/>
      <c r="D20" s="55">
        <f>IF($A20="","",IFERROR(INDEX(Baseline!$B$20:$B$49,MATCH($C20,Baseline!$A$20:$A$49,0)),"Line not in baseline"))</f>
        <v/>
      </c>
      <c r="E20" s="55">
        <f>IF($A20="","",IFERROR(INDEX(Baseline!$C$20:$C$49,MATCH($C20,Baseline!$A$20:$A$49,0)),""))</f>
        <v/>
      </c>
      <c r="F20" s="56">
        <f>IF($A20="","",IFERROR(INDEX(Baseline!$E$20:$E$49,MATCH($C20,Baseline!$A$20:$A$49,0)),""))</f>
        <v/>
      </c>
      <c r="G20" s="57" t="n"/>
      <c r="H20" s="54" t="n"/>
      <c r="I20" s="54" t="n"/>
      <c r="J20" s="39">
        <f>IF($A20="","",IF($E20="Informational","GREEN",IF($G20="",IF($E20="Mandatory","RED","YELLOW"),IF($N20="Exact",IF(UPPER(TRIM($G20&amp;""))=UPPER(TRIM($F20&amp;"")),"GREEN",$P20),IF(NOT(ISNUMBER($G20)),$P20,IF($N20="Min",IF($G20&gt;=$F20,"GREEN",IF($G20&gt;=$F20-$O20,"YELLOW",$P20)),IF($N20="Max",IF($G20&lt;=$F20,"GREEN",IF($G20&lt;=$F20+$O20,"YELLOW",$P20)),IF($N20="Range",IF(ABS($G20-$F20)&lt;=$O20,"GREEN",$P20),"CHECK RULE"))))))))</f>
        <v/>
      </c>
      <c r="K20" s="39">
        <f>IF($A20="","",IF($H20="Non-Compliant","RED",IF(AND(OR($H20="Alternative Offer",$H20="Partially Compliant"),$J20="GREEN"),"YELLOW",IF(AND($J20="GREEN",ISNUMBER($R20),$R20&lt;Baseline!$B$9),"YELLOW",$J20))))</f>
        <v/>
      </c>
      <c r="L20" s="39">
        <f>IF($A20="","",IF($K20="GREEN","GREEN",IF(COUNTIFS(Exceptions!$B$5:$B$104,$A20,Exceptions!$C$5:$C$104,$B20,Exceptions!$D$5:$D$104,$C20,Exceptions!$G$5:$G$104,"Accepted",Exceptions!$H$5:$H$104,"&lt;&gt;")&gt;0,"CLEARED",$K20)))</f>
        <v/>
      </c>
      <c r="M20" s="39">
        <f>IF($A20="","",IF($H20="","Declaration missing",IF($H20="Not Stated","Not stated in quotation",IF(AND(ISNUMBER($R20),$R20&lt;Baseline!$B$9),"Low AI confidence - verify",IF(AND($H20="Fully Compliant",$J20&lt;&gt;"GREEN"),"Declared Fully - evidence differs","")))))</f>
        <v/>
      </c>
      <c r="N20" s="58">
        <f>IF($A20="","",IFERROR(INDEX(Baseline!$D$20:$D$49,MATCH($C20,Baseline!$A$20:$A$49,0)),""))</f>
        <v/>
      </c>
      <c r="O20" s="58">
        <f>IF($A20="","",IFERROR(INDEX(Baseline!$F$20:$F$49,MATCH($C20,Baseline!$A$20:$A$49,0)),0))</f>
        <v/>
      </c>
      <c r="P20" s="58">
        <f>IF($A20="","",IFERROR(INDEX(Baseline!$G$20:$G$49,MATCH($C20,Baseline!$A$20:$A$49,0)),"RED"))</f>
        <v/>
      </c>
      <c r="Q20" s="58">
        <f>IF($A20="","",$A20&amp;"|"&amp;$B20&amp;"|"&amp;$C20)</f>
        <v/>
      </c>
      <c r="R20" s="59" t="n"/>
      <c r="S20" s="60" t="n"/>
    </row>
    <row r="21" ht="15" customHeight="1" s="34">
      <c r="A21" s="54" t="n"/>
      <c r="B21" s="54" t="n"/>
      <c r="C21" s="54" t="n"/>
      <c r="D21" s="55">
        <f>IF($A21="","",IFERROR(INDEX(Baseline!$B$20:$B$49,MATCH($C21,Baseline!$A$20:$A$49,0)),"Line not in baseline"))</f>
        <v/>
      </c>
      <c r="E21" s="55">
        <f>IF($A21="","",IFERROR(INDEX(Baseline!$C$20:$C$49,MATCH($C21,Baseline!$A$20:$A$49,0)),""))</f>
        <v/>
      </c>
      <c r="F21" s="56">
        <f>IF($A21="","",IFERROR(INDEX(Baseline!$E$20:$E$49,MATCH($C21,Baseline!$A$20:$A$49,0)),""))</f>
        <v/>
      </c>
      <c r="G21" s="57" t="n"/>
      <c r="H21" s="54" t="n"/>
      <c r="I21" s="54" t="n"/>
      <c r="J21" s="39">
        <f>IF($A21="","",IF($E21="Informational","GREEN",IF($G21="",IF($E21="Mandatory","RED","YELLOW"),IF($N21="Exact",IF(UPPER(TRIM($G21&amp;""))=UPPER(TRIM($F21&amp;"")),"GREEN",$P21),IF(NOT(ISNUMBER($G21)),$P21,IF($N21="Min",IF($G21&gt;=$F21,"GREEN",IF($G21&gt;=$F21-$O21,"YELLOW",$P21)),IF($N21="Max",IF($G21&lt;=$F21,"GREEN",IF($G21&lt;=$F21+$O21,"YELLOW",$P21)),IF($N21="Range",IF(ABS($G21-$F21)&lt;=$O21,"GREEN",$P21),"CHECK RULE"))))))))</f>
        <v/>
      </c>
      <c r="K21" s="39">
        <f>IF($A21="","",IF($H21="Non-Compliant","RED",IF(AND(OR($H21="Alternative Offer",$H21="Partially Compliant"),$J21="GREEN"),"YELLOW",IF(AND($J21="GREEN",ISNUMBER($R21),$R21&lt;Baseline!$B$9),"YELLOW",$J21))))</f>
        <v/>
      </c>
      <c r="L21" s="39">
        <f>IF($A21="","",IF($K21="GREEN","GREEN",IF(COUNTIFS(Exceptions!$B$5:$B$104,$A21,Exceptions!$C$5:$C$104,$B21,Exceptions!$D$5:$D$104,$C21,Exceptions!$G$5:$G$104,"Accepted",Exceptions!$H$5:$H$104,"&lt;&gt;")&gt;0,"CLEARED",$K21)))</f>
        <v/>
      </c>
      <c r="M21" s="39">
        <f>IF($A21="","",IF($H21="","Declaration missing",IF($H21="Not Stated","Not stated in quotation",IF(AND(ISNUMBER($R21),$R21&lt;Baseline!$B$9),"Low AI confidence - verify",IF(AND($H21="Fully Compliant",$J21&lt;&gt;"GREEN"),"Declared Fully - evidence differs","")))))</f>
        <v/>
      </c>
      <c r="N21" s="58">
        <f>IF($A21="","",IFERROR(INDEX(Baseline!$D$20:$D$49,MATCH($C21,Baseline!$A$20:$A$49,0)),""))</f>
        <v/>
      </c>
      <c r="O21" s="58">
        <f>IF($A21="","",IFERROR(INDEX(Baseline!$F$20:$F$49,MATCH($C21,Baseline!$A$20:$A$49,0)),0))</f>
        <v/>
      </c>
      <c r="P21" s="58">
        <f>IF($A21="","",IFERROR(INDEX(Baseline!$G$20:$G$49,MATCH($C21,Baseline!$A$20:$A$49,0)),"RED"))</f>
        <v/>
      </c>
      <c r="Q21" s="58">
        <f>IF($A21="","",$A21&amp;"|"&amp;$B21&amp;"|"&amp;$C21)</f>
        <v/>
      </c>
      <c r="R21" s="59" t="n"/>
      <c r="S21" s="60" t="n"/>
    </row>
    <row r="22" ht="15" customHeight="1" s="34">
      <c r="A22" s="54" t="n"/>
      <c r="B22" s="54" t="n"/>
      <c r="C22" s="54" t="n"/>
      <c r="D22" s="55">
        <f>IF($A22="","",IFERROR(INDEX(Baseline!$B$20:$B$49,MATCH($C22,Baseline!$A$20:$A$49,0)),"Line not in baseline"))</f>
        <v/>
      </c>
      <c r="E22" s="55">
        <f>IF($A22="","",IFERROR(INDEX(Baseline!$C$20:$C$49,MATCH($C22,Baseline!$A$20:$A$49,0)),""))</f>
        <v/>
      </c>
      <c r="F22" s="56">
        <f>IF($A22="","",IFERROR(INDEX(Baseline!$E$20:$E$49,MATCH($C22,Baseline!$A$20:$A$49,0)),""))</f>
        <v/>
      </c>
      <c r="G22" s="57" t="n"/>
      <c r="H22" s="54" t="n"/>
      <c r="I22" s="54" t="n"/>
      <c r="J22" s="39">
        <f>IF($A22="","",IF($E22="Informational","GREEN",IF($G22="",IF($E22="Mandatory","RED","YELLOW"),IF($N22="Exact",IF(UPPER(TRIM($G22&amp;""))=UPPER(TRIM($F22&amp;"")),"GREEN",$P22),IF(NOT(ISNUMBER($G22)),$P22,IF($N22="Min",IF($G22&gt;=$F22,"GREEN",IF($G22&gt;=$F22-$O22,"YELLOW",$P22)),IF($N22="Max",IF($G22&lt;=$F22,"GREEN",IF($G22&lt;=$F22+$O22,"YELLOW",$P22)),IF($N22="Range",IF(ABS($G22-$F22)&lt;=$O22,"GREEN",$P22),"CHECK RULE"))))))))</f>
        <v/>
      </c>
      <c r="K22" s="39">
        <f>IF($A22="","",IF($H22="Non-Compliant","RED",IF(AND(OR($H22="Alternative Offer",$H22="Partially Compliant"),$J22="GREEN"),"YELLOW",IF(AND($J22="GREEN",ISNUMBER($R22),$R22&lt;Baseline!$B$9),"YELLOW",$J22))))</f>
        <v/>
      </c>
      <c r="L22" s="39">
        <f>IF($A22="","",IF($K22="GREEN","GREEN",IF(COUNTIFS(Exceptions!$B$5:$B$104,$A22,Exceptions!$C$5:$C$104,$B22,Exceptions!$D$5:$D$104,$C22,Exceptions!$G$5:$G$104,"Accepted",Exceptions!$H$5:$H$104,"&lt;&gt;")&gt;0,"CLEARED",$K22)))</f>
        <v/>
      </c>
      <c r="M22" s="39">
        <f>IF($A22="","",IF($H22="","Declaration missing",IF($H22="Not Stated","Not stated in quotation",IF(AND(ISNUMBER($R22),$R22&lt;Baseline!$B$9),"Low AI confidence - verify",IF(AND($H22="Fully Compliant",$J22&lt;&gt;"GREEN"),"Declared Fully - evidence differs","")))))</f>
        <v/>
      </c>
      <c r="N22" s="58">
        <f>IF($A22="","",IFERROR(INDEX(Baseline!$D$20:$D$49,MATCH($C22,Baseline!$A$20:$A$49,0)),""))</f>
        <v/>
      </c>
      <c r="O22" s="58">
        <f>IF($A22="","",IFERROR(INDEX(Baseline!$F$20:$F$49,MATCH($C22,Baseline!$A$20:$A$49,0)),0))</f>
        <v/>
      </c>
      <c r="P22" s="58">
        <f>IF($A22="","",IFERROR(INDEX(Baseline!$G$20:$G$49,MATCH($C22,Baseline!$A$20:$A$49,0)),"RED"))</f>
        <v/>
      </c>
      <c r="Q22" s="58">
        <f>IF($A22="","",$A22&amp;"|"&amp;$B22&amp;"|"&amp;$C22)</f>
        <v/>
      </c>
      <c r="R22" s="59" t="n"/>
      <c r="S22" s="60" t="n"/>
    </row>
    <row r="23" ht="15" customHeight="1" s="34">
      <c r="A23" s="54" t="n"/>
      <c r="B23" s="54" t="n"/>
      <c r="C23" s="54" t="n"/>
      <c r="D23" s="55">
        <f>IF($A23="","",IFERROR(INDEX(Baseline!$B$20:$B$49,MATCH($C23,Baseline!$A$20:$A$49,0)),"Line not in baseline"))</f>
        <v/>
      </c>
      <c r="E23" s="55">
        <f>IF($A23="","",IFERROR(INDEX(Baseline!$C$20:$C$49,MATCH($C23,Baseline!$A$20:$A$49,0)),""))</f>
        <v/>
      </c>
      <c r="F23" s="56">
        <f>IF($A23="","",IFERROR(INDEX(Baseline!$E$20:$E$49,MATCH($C23,Baseline!$A$20:$A$49,0)),""))</f>
        <v/>
      </c>
      <c r="G23" s="57" t="n"/>
      <c r="H23" s="54" t="n"/>
      <c r="I23" s="54" t="n"/>
      <c r="J23" s="39">
        <f>IF($A23="","",IF($E23="Informational","GREEN",IF($G23="",IF($E23="Mandatory","RED","YELLOW"),IF($N23="Exact",IF(UPPER(TRIM($G23&amp;""))=UPPER(TRIM($F23&amp;"")),"GREEN",$P23),IF(NOT(ISNUMBER($G23)),$P23,IF($N23="Min",IF($G23&gt;=$F23,"GREEN",IF($G23&gt;=$F23-$O23,"YELLOW",$P23)),IF($N23="Max",IF($G23&lt;=$F23,"GREEN",IF($G23&lt;=$F23+$O23,"YELLOW",$P23)),IF($N23="Range",IF(ABS($G23-$F23)&lt;=$O23,"GREEN",$P23),"CHECK RULE"))))))))</f>
        <v/>
      </c>
      <c r="K23" s="39">
        <f>IF($A23="","",IF($H23="Non-Compliant","RED",IF(AND(OR($H23="Alternative Offer",$H23="Partially Compliant"),$J23="GREEN"),"YELLOW",IF(AND($J23="GREEN",ISNUMBER($R23),$R23&lt;Baseline!$B$9),"YELLOW",$J23))))</f>
        <v/>
      </c>
      <c r="L23" s="39">
        <f>IF($A23="","",IF($K23="GREEN","GREEN",IF(COUNTIFS(Exceptions!$B$5:$B$104,$A23,Exceptions!$C$5:$C$104,$B23,Exceptions!$D$5:$D$104,$C23,Exceptions!$G$5:$G$104,"Accepted",Exceptions!$H$5:$H$104,"&lt;&gt;")&gt;0,"CLEARED",$K23)))</f>
        <v/>
      </c>
      <c r="M23" s="39">
        <f>IF($A23="","",IF($H23="","Declaration missing",IF($H23="Not Stated","Not stated in quotation",IF(AND(ISNUMBER($R23),$R23&lt;Baseline!$B$9),"Low AI confidence - verify",IF(AND($H23="Fully Compliant",$J23&lt;&gt;"GREEN"),"Declared Fully - evidence differs","")))))</f>
        <v/>
      </c>
      <c r="N23" s="58">
        <f>IF($A23="","",IFERROR(INDEX(Baseline!$D$20:$D$49,MATCH($C23,Baseline!$A$20:$A$49,0)),""))</f>
        <v/>
      </c>
      <c r="O23" s="58">
        <f>IF($A23="","",IFERROR(INDEX(Baseline!$F$20:$F$49,MATCH($C23,Baseline!$A$20:$A$49,0)),0))</f>
        <v/>
      </c>
      <c r="P23" s="58">
        <f>IF($A23="","",IFERROR(INDEX(Baseline!$G$20:$G$49,MATCH($C23,Baseline!$A$20:$A$49,0)),"RED"))</f>
        <v/>
      </c>
      <c r="Q23" s="58">
        <f>IF($A23="","",$A23&amp;"|"&amp;$B23&amp;"|"&amp;$C23)</f>
        <v/>
      </c>
      <c r="R23" s="59" t="n"/>
      <c r="S23" s="60" t="n"/>
    </row>
    <row r="24" ht="15" customHeight="1" s="34">
      <c r="A24" s="54" t="n"/>
      <c r="B24" s="54" t="n"/>
      <c r="C24" s="54" t="n"/>
      <c r="D24" s="55">
        <f>IF($A24="","",IFERROR(INDEX(Baseline!$B$20:$B$49,MATCH($C24,Baseline!$A$20:$A$49,0)),"Line not in baseline"))</f>
        <v/>
      </c>
      <c r="E24" s="55">
        <f>IF($A24="","",IFERROR(INDEX(Baseline!$C$20:$C$49,MATCH($C24,Baseline!$A$20:$A$49,0)),""))</f>
        <v/>
      </c>
      <c r="F24" s="56">
        <f>IF($A24="","",IFERROR(INDEX(Baseline!$E$20:$E$49,MATCH($C24,Baseline!$A$20:$A$49,0)),""))</f>
        <v/>
      </c>
      <c r="G24" s="57" t="n"/>
      <c r="H24" s="54" t="n"/>
      <c r="I24" s="54" t="n"/>
      <c r="J24" s="39">
        <f>IF($A24="","",IF($E24="Informational","GREEN",IF($G24="",IF($E24="Mandatory","RED","YELLOW"),IF($N24="Exact",IF(UPPER(TRIM($G24&amp;""))=UPPER(TRIM($F24&amp;"")),"GREEN",$P24),IF(NOT(ISNUMBER($G24)),$P24,IF($N24="Min",IF($G24&gt;=$F24,"GREEN",IF($G24&gt;=$F24-$O24,"YELLOW",$P24)),IF($N24="Max",IF($G24&lt;=$F24,"GREEN",IF($G24&lt;=$F24+$O24,"YELLOW",$P24)),IF($N24="Range",IF(ABS($G24-$F24)&lt;=$O24,"GREEN",$P24),"CHECK RULE"))))))))</f>
        <v/>
      </c>
      <c r="K24" s="39">
        <f>IF($A24="","",IF($H24="Non-Compliant","RED",IF(AND(OR($H24="Alternative Offer",$H24="Partially Compliant"),$J24="GREEN"),"YELLOW",IF(AND($J24="GREEN",ISNUMBER($R24),$R24&lt;Baseline!$B$9),"YELLOW",$J24))))</f>
        <v/>
      </c>
      <c r="L24" s="39">
        <f>IF($A24="","",IF($K24="GREEN","GREEN",IF(COUNTIFS(Exceptions!$B$5:$B$104,$A24,Exceptions!$C$5:$C$104,$B24,Exceptions!$D$5:$D$104,$C24,Exceptions!$G$5:$G$104,"Accepted",Exceptions!$H$5:$H$104,"&lt;&gt;")&gt;0,"CLEARED",$K24)))</f>
        <v/>
      </c>
      <c r="M24" s="39">
        <f>IF($A24="","",IF($H24="","Declaration missing",IF($H24="Not Stated","Not stated in quotation",IF(AND(ISNUMBER($R24),$R24&lt;Baseline!$B$9),"Low AI confidence - verify",IF(AND($H24="Fully Compliant",$J24&lt;&gt;"GREEN"),"Declared Fully - evidence differs","")))))</f>
        <v/>
      </c>
      <c r="N24" s="58">
        <f>IF($A24="","",IFERROR(INDEX(Baseline!$D$20:$D$49,MATCH($C24,Baseline!$A$20:$A$49,0)),""))</f>
        <v/>
      </c>
      <c r="O24" s="58">
        <f>IF($A24="","",IFERROR(INDEX(Baseline!$F$20:$F$49,MATCH($C24,Baseline!$A$20:$A$49,0)),0))</f>
        <v/>
      </c>
      <c r="P24" s="58">
        <f>IF($A24="","",IFERROR(INDEX(Baseline!$G$20:$G$49,MATCH($C24,Baseline!$A$20:$A$49,0)),"RED"))</f>
        <v/>
      </c>
      <c r="Q24" s="58">
        <f>IF($A24="","",$A24&amp;"|"&amp;$B24&amp;"|"&amp;$C24)</f>
        <v/>
      </c>
      <c r="R24" s="59" t="n"/>
      <c r="S24" s="60" t="n"/>
    </row>
    <row r="25" ht="15" customHeight="1" s="34">
      <c r="A25" s="54" t="n"/>
      <c r="B25" s="54" t="n"/>
      <c r="C25" s="54" t="n"/>
      <c r="D25" s="55">
        <f>IF($A25="","",IFERROR(INDEX(Baseline!$B$20:$B$49,MATCH($C25,Baseline!$A$20:$A$49,0)),"Line not in baseline"))</f>
        <v/>
      </c>
      <c r="E25" s="55">
        <f>IF($A25="","",IFERROR(INDEX(Baseline!$C$20:$C$49,MATCH($C25,Baseline!$A$20:$A$49,0)),""))</f>
        <v/>
      </c>
      <c r="F25" s="56">
        <f>IF($A25="","",IFERROR(INDEX(Baseline!$E$20:$E$49,MATCH($C25,Baseline!$A$20:$A$49,0)),""))</f>
        <v/>
      </c>
      <c r="G25" s="57" t="n"/>
      <c r="H25" s="54" t="n"/>
      <c r="I25" s="54" t="n"/>
      <c r="J25" s="39">
        <f>IF($A25="","",IF($E25="Informational","GREEN",IF($G25="",IF($E25="Mandatory","RED","YELLOW"),IF($N25="Exact",IF(UPPER(TRIM($G25&amp;""))=UPPER(TRIM($F25&amp;"")),"GREEN",$P25),IF(NOT(ISNUMBER($G25)),$P25,IF($N25="Min",IF($G25&gt;=$F25,"GREEN",IF($G25&gt;=$F25-$O25,"YELLOW",$P25)),IF($N25="Max",IF($G25&lt;=$F25,"GREEN",IF($G25&lt;=$F25+$O25,"YELLOW",$P25)),IF($N25="Range",IF(ABS($G25-$F25)&lt;=$O25,"GREEN",$P25),"CHECK RULE"))))))))</f>
        <v/>
      </c>
      <c r="K25" s="39">
        <f>IF($A25="","",IF($H25="Non-Compliant","RED",IF(AND(OR($H25="Alternative Offer",$H25="Partially Compliant"),$J25="GREEN"),"YELLOW",IF(AND($J25="GREEN",ISNUMBER($R25),$R25&lt;Baseline!$B$9),"YELLOW",$J25))))</f>
        <v/>
      </c>
      <c r="L25" s="39">
        <f>IF($A25="","",IF($K25="GREEN","GREEN",IF(COUNTIFS(Exceptions!$B$5:$B$104,$A25,Exceptions!$C$5:$C$104,$B25,Exceptions!$D$5:$D$104,$C25,Exceptions!$G$5:$G$104,"Accepted",Exceptions!$H$5:$H$104,"&lt;&gt;")&gt;0,"CLEARED",$K25)))</f>
        <v/>
      </c>
      <c r="M25" s="39">
        <f>IF($A25="","",IF($H25="","Declaration missing",IF($H25="Not Stated","Not stated in quotation",IF(AND(ISNUMBER($R25),$R25&lt;Baseline!$B$9),"Low AI confidence - verify",IF(AND($H25="Fully Compliant",$J25&lt;&gt;"GREEN"),"Declared Fully - evidence differs","")))))</f>
        <v/>
      </c>
      <c r="N25" s="58">
        <f>IF($A25="","",IFERROR(INDEX(Baseline!$D$20:$D$49,MATCH($C25,Baseline!$A$20:$A$49,0)),""))</f>
        <v/>
      </c>
      <c r="O25" s="58">
        <f>IF($A25="","",IFERROR(INDEX(Baseline!$F$20:$F$49,MATCH($C25,Baseline!$A$20:$A$49,0)),0))</f>
        <v/>
      </c>
      <c r="P25" s="58">
        <f>IF($A25="","",IFERROR(INDEX(Baseline!$G$20:$G$49,MATCH($C25,Baseline!$A$20:$A$49,0)),"RED"))</f>
        <v/>
      </c>
      <c r="Q25" s="58">
        <f>IF($A25="","",$A25&amp;"|"&amp;$B25&amp;"|"&amp;$C25)</f>
        <v/>
      </c>
      <c r="R25" s="59" t="n"/>
      <c r="S25" s="60" t="n"/>
    </row>
    <row r="26" ht="15" customHeight="1" s="34">
      <c r="A26" s="54" t="n"/>
      <c r="B26" s="54" t="n"/>
      <c r="C26" s="54" t="n"/>
      <c r="D26" s="55">
        <f>IF($A26="","",IFERROR(INDEX(Baseline!$B$20:$B$49,MATCH($C26,Baseline!$A$20:$A$49,0)),"Line not in baseline"))</f>
        <v/>
      </c>
      <c r="E26" s="55">
        <f>IF($A26="","",IFERROR(INDEX(Baseline!$C$20:$C$49,MATCH($C26,Baseline!$A$20:$A$49,0)),""))</f>
        <v/>
      </c>
      <c r="F26" s="56">
        <f>IF($A26="","",IFERROR(INDEX(Baseline!$E$20:$E$49,MATCH($C26,Baseline!$A$20:$A$49,0)),""))</f>
        <v/>
      </c>
      <c r="G26" s="57" t="n"/>
      <c r="H26" s="54" t="n"/>
      <c r="I26" s="54" t="n"/>
      <c r="J26" s="39">
        <f>IF($A26="","",IF($E26="Informational","GREEN",IF($G26="",IF($E26="Mandatory","RED","YELLOW"),IF($N26="Exact",IF(UPPER(TRIM($G26&amp;""))=UPPER(TRIM($F26&amp;"")),"GREEN",$P26),IF(NOT(ISNUMBER($G26)),$P26,IF($N26="Min",IF($G26&gt;=$F26,"GREEN",IF($G26&gt;=$F26-$O26,"YELLOW",$P26)),IF($N26="Max",IF($G26&lt;=$F26,"GREEN",IF($G26&lt;=$F26+$O26,"YELLOW",$P26)),IF($N26="Range",IF(ABS($G26-$F26)&lt;=$O26,"GREEN",$P26),"CHECK RULE"))))))))</f>
        <v/>
      </c>
      <c r="K26" s="39">
        <f>IF($A26="","",IF($H26="Non-Compliant","RED",IF(AND(OR($H26="Alternative Offer",$H26="Partially Compliant"),$J26="GREEN"),"YELLOW",IF(AND($J26="GREEN",ISNUMBER($R26),$R26&lt;Baseline!$B$9),"YELLOW",$J26))))</f>
        <v/>
      </c>
      <c r="L26" s="39">
        <f>IF($A26="","",IF($K26="GREEN","GREEN",IF(COUNTIFS(Exceptions!$B$5:$B$104,$A26,Exceptions!$C$5:$C$104,$B26,Exceptions!$D$5:$D$104,$C26,Exceptions!$G$5:$G$104,"Accepted",Exceptions!$H$5:$H$104,"&lt;&gt;")&gt;0,"CLEARED",$K26)))</f>
        <v/>
      </c>
      <c r="M26" s="39">
        <f>IF($A26="","",IF($H26="","Declaration missing",IF($H26="Not Stated","Not stated in quotation",IF(AND(ISNUMBER($R26),$R26&lt;Baseline!$B$9),"Low AI confidence - verify",IF(AND($H26="Fully Compliant",$J26&lt;&gt;"GREEN"),"Declared Fully - evidence differs","")))))</f>
        <v/>
      </c>
      <c r="N26" s="58">
        <f>IF($A26="","",IFERROR(INDEX(Baseline!$D$20:$D$49,MATCH($C26,Baseline!$A$20:$A$49,0)),""))</f>
        <v/>
      </c>
      <c r="O26" s="58">
        <f>IF($A26="","",IFERROR(INDEX(Baseline!$F$20:$F$49,MATCH($C26,Baseline!$A$20:$A$49,0)),0))</f>
        <v/>
      </c>
      <c r="P26" s="58">
        <f>IF($A26="","",IFERROR(INDEX(Baseline!$G$20:$G$49,MATCH($C26,Baseline!$A$20:$A$49,0)),"RED"))</f>
        <v/>
      </c>
      <c r="Q26" s="58">
        <f>IF($A26="","",$A26&amp;"|"&amp;$B26&amp;"|"&amp;$C26)</f>
        <v/>
      </c>
      <c r="R26" s="59" t="n"/>
      <c r="S26" s="60" t="n"/>
    </row>
    <row r="27" ht="15" customHeight="1" s="34">
      <c r="A27" s="54" t="n"/>
      <c r="B27" s="54" t="n"/>
      <c r="C27" s="54" t="n"/>
      <c r="D27" s="55">
        <f>IF($A27="","",IFERROR(INDEX(Baseline!$B$20:$B$49,MATCH($C27,Baseline!$A$20:$A$49,0)),"Line not in baseline"))</f>
        <v/>
      </c>
      <c r="E27" s="55">
        <f>IF($A27="","",IFERROR(INDEX(Baseline!$C$20:$C$49,MATCH($C27,Baseline!$A$20:$A$49,0)),""))</f>
        <v/>
      </c>
      <c r="F27" s="56">
        <f>IF($A27="","",IFERROR(INDEX(Baseline!$E$20:$E$49,MATCH($C27,Baseline!$A$20:$A$49,0)),""))</f>
        <v/>
      </c>
      <c r="G27" s="57" t="n"/>
      <c r="H27" s="54" t="n"/>
      <c r="I27" s="54" t="n"/>
      <c r="J27" s="39">
        <f>IF($A27="","",IF($E27="Informational","GREEN",IF($G27="",IF($E27="Mandatory","RED","YELLOW"),IF($N27="Exact",IF(UPPER(TRIM($G27&amp;""))=UPPER(TRIM($F27&amp;"")),"GREEN",$P27),IF(NOT(ISNUMBER($G27)),$P27,IF($N27="Min",IF($G27&gt;=$F27,"GREEN",IF($G27&gt;=$F27-$O27,"YELLOW",$P27)),IF($N27="Max",IF($G27&lt;=$F27,"GREEN",IF($G27&lt;=$F27+$O27,"YELLOW",$P27)),IF($N27="Range",IF(ABS($G27-$F27)&lt;=$O27,"GREEN",$P27),"CHECK RULE"))))))))</f>
        <v/>
      </c>
      <c r="K27" s="39">
        <f>IF($A27="","",IF($H27="Non-Compliant","RED",IF(AND(OR($H27="Alternative Offer",$H27="Partially Compliant"),$J27="GREEN"),"YELLOW",IF(AND($J27="GREEN",ISNUMBER($R27),$R27&lt;Baseline!$B$9),"YELLOW",$J27))))</f>
        <v/>
      </c>
      <c r="L27" s="39">
        <f>IF($A27="","",IF($K27="GREEN","GREEN",IF(COUNTIFS(Exceptions!$B$5:$B$104,$A27,Exceptions!$C$5:$C$104,$B27,Exceptions!$D$5:$D$104,$C27,Exceptions!$G$5:$G$104,"Accepted",Exceptions!$H$5:$H$104,"&lt;&gt;")&gt;0,"CLEARED",$K27)))</f>
        <v/>
      </c>
      <c r="M27" s="39">
        <f>IF($A27="","",IF($H27="","Declaration missing",IF($H27="Not Stated","Not stated in quotation",IF(AND(ISNUMBER($R27),$R27&lt;Baseline!$B$9),"Low AI confidence - verify",IF(AND($H27="Fully Compliant",$J27&lt;&gt;"GREEN"),"Declared Fully - evidence differs","")))))</f>
        <v/>
      </c>
      <c r="N27" s="58">
        <f>IF($A27="","",IFERROR(INDEX(Baseline!$D$20:$D$49,MATCH($C27,Baseline!$A$20:$A$49,0)),""))</f>
        <v/>
      </c>
      <c r="O27" s="58">
        <f>IF($A27="","",IFERROR(INDEX(Baseline!$F$20:$F$49,MATCH($C27,Baseline!$A$20:$A$49,0)),0))</f>
        <v/>
      </c>
      <c r="P27" s="58">
        <f>IF($A27="","",IFERROR(INDEX(Baseline!$G$20:$G$49,MATCH($C27,Baseline!$A$20:$A$49,0)),"RED"))</f>
        <v/>
      </c>
      <c r="Q27" s="58">
        <f>IF($A27="","",$A27&amp;"|"&amp;$B27&amp;"|"&amp;$C27)</f>
        <v/>
      </c>
      <c r="R27" s="59" t="n"/>
      <c r="S27" s="60" t="n"/>
    </row>
    <row r="28" ht="15" customHeight="1" s="34">
      <c r="A28" s="54" t="n"/>
      <c r="B28" s="54" t="n"/>
      <c r="C28" s="54" t="n"/>
      <c r="D28" s="55">
        <f>IF($A28="","",IFERROR(INDEX(Baseline!$B$20:$B$49,MATCH($C28,Baseline!$A$20:$A$49,0)),"Line not in baseline"))</f>
        <v/>
      </c>
      <c r="E28" s="55">
        <f>IF($A28="","",IFERROR(INDEX(Baseline!$C$20:$C$49,MATCH($C28,Baseline!$A$20:$A$49,0)),""))</f>
        <v/>
      </c>
      <c r="F28" s="56">
        <f>IF($A28="","",IFERROR(INDEX(Baseline!$E$20:$E$49,MATCH($C28,Baseline!$A$20:$A$49,0)),""))</f>
        <v/>
      </c>
      <c r="G28" s="57" t="n"/>
      <c r="H28" s="54" t="n"/>
      <c r="I28" s="54" t="n"/>
      <c r="J28" s="39">
        <f>IF($A28="","",IF($E28="Informational","GREEN",IF($G28="",IF($E28="Mandatory","RED","YELLOW"),IF($N28="Exact",IF(UPPER(TRIM($G28&amp;""))=UPPER(TRIM($F28&amp;"")),"GREEN",$P28),IF(NOT(ISNUMBER($G28)),$P28,IF($N28="Min",IF($G28&gt;=$F28,"GREEN",IF($G28&gt;=$F28-$O28,"YELLOW",$P28)),IF($N28="Max",IF($G28&lt;=$F28,"GREEN",IF($G28&lt;=$F28+$O28,"YELLOW",$P28)),IF($N28="Range",IF(ABS($G28-$F28)&lt;=$O28,"GREEN",$P28),"CHECK RULE"))))))))</f>
        <v/>
      </c>
      <c r="K28" s="39">
        <f>IF($A28="","",IF($H28="Non-Compliant","RED",IF(AND(OR($H28="Alternative Offer",$H28="Partially Compliant"),$J28="GREEN"),"YELLOW",IF(AND($J28="GREEN",ISNUMBER($R28),$R28&lt;Baseline!$B$9),"YELLOW",$J28))))</f>
        <v/>
      </c>
      <c r="L28" s="39">
        <f>IF($A28="","",IF($K28="GREEN","GREEN",IF(COUNTIFS(Exceptions!$B$5:$B$104,$A28,Exceptions!$C$5:$C$104,$B28,Exceptions!$D$5:$D$104,$C28,Exceptions!$G$5:$G$104,"Accepted",Exceptions!$H$5:$H$104,"&lt;&gt;")&gt;0,"CLEARED",$K28)))</f>
        <v/>
      </c>
      <c r="M28" s="39">
        <f>IF($A28="","",IF($H28="","Declaration missing",IF($H28="Not Stated","Not stated in quotation",IF(AND(ISNUMBER($R28),$R28&lt;Baseline!$B$9),"Low AI confidence - verify",IF(AND($H28="Fully Compliant",$J28&lt;&gt;"GREEN"),"Declared Fully - evidence differs","")))))</f>
        <v/>
      </c>
      <c r="N28" s="58">
        <f>IF($A28="","",IFERROR(INDEX(Baseline!$D$20:$D$49,MATCH($C28,Baseline!$A$20:$A$49,0)),""))</f>
        <v/>
      </c>
      <c r="O28" s="58">
        <f>IF($A28="","",IFERROR(INDEX(Baseline!$F$20:$F$49,MATCH($C28,Baseline!$A$20:$A$49,0)),0))</f>
        <v/>
      </c>
      <c r="P28" s="58">
        <f>IF($A28="","",IFERROR(INDEX(Baseline!$G$20:$G$49,MATCH($C28,Baseline!$A$20:$A$49,0)),"RED"))</f>
        <v/>
      </c>
      <c r="Q28" s="58">
        <f>IF($A28="","",$A28&amp;"|"&amp;$B28&amp;"|"&amp;$C28)</f>
        <v/>
      </c>
      <c r="R28" s="59" t="n"/>
      <c r="S28" s="60" t="n"/>
    </row>
    <row r="29" ht="15" customHeight="1" s="34">
      <c r="A29" s="54" t="n"/>
      <c r="B29" s="54" t="n"/>
      <c r="C29" s="54" t="n"/>
      <c r="D29" s="55">
        <f>IF($A29="","",IFERROR(INDEX(Baseline!$B$20:$B$49,MATCH($C29,Baseline!$A$20:$A$49,0)),"Line not in baseline"))</f>
        <v/>
      </c>
      <c r="E29" s="55">
        <f>IF($A29="","",IFERROR(INDEX(Baseline!$C$20:$C$49,MATCH($C29,Baseline!$A$20:$A$49,0)),""))</f>
        <v/>
      </c>
      <c r="F29" s="56">
        <f>IF($A29="","",IFERROR(INDEX(Baseline!$E$20:$E$49,MATCH($C29,Baseline!$A$20:$A$49,0)),""))</f>
        <v/>
      </c>
      <c r="G29" s="57" t="n"/>
      <c r="H29" s="54" t="n"/>
      <c r="I29" s="54" t="n"/>
      <c r="J29" s="39">
        <f>IF($A29="","",IF($E29="Informational","GREEN",IF($G29="",IF($E29="Mandatory","RED","YELLOW"),IF($N29="Exact",IF(UPPER(TRIM($G29&amp;""))=UPPER(TRIM($F29&amp;"")),"GREEN",$P29),IF(NOT(ISNUMBER($G29)),$P29,IF($N29="Min",IF($G29&gt;=$F29,"GREEN",IF($G29&gt;=$F29-$O29,"YELLOW",$P29)),IF($N29="Max",IF($G29&lt;=$F29,"GREEN",IF($G29&lt;=$F29+$O29,"YELLOW",$P29)),IF($N29="Range",IF(ABS($G29-$F29)&lt;=$O29,"GREEN",$P29),"CHECK RULE"))))))))</f>
        <v/>
      </c>
      <c r="K29" s="39">
        <f>IF($A29="","",IF($H29="Non-Compliant","RED",IF(AND(OR($H29="Alternative Offer",$H29="Partially Compliant"),$J29="GREEN"),"YELLOW",IF(AND($J29="GREEN",ISNUMBER($R29),$R29&lt;Baseline!$B$9),"YELLOW",$J29))))</f>
        <v/>
      </c>
      <c r="L29" s="39">
        <f>IF($A29="","",IF($K29="GREEN","GREEN",IF(COUNTIFS(Exceptions!$B$5:$B$104,$A29,Exceptions!$C$5:$C$104,$B29,Exceptions!$D$5:$D$104,$C29,Exceptions!$G$5:$G$104,"Accepted",Exceptions!$H$5:$H$104,"&lt;&gt;")&gt;0,"CLEARED",$K29)))</f>
        <v/>
      </c>
      <c r="M29" s="39">
        <f>IF($A29="","",IF($H29="","Declaration missing",IF($H29="Not Stated","Not stated in quotation",IF(AND(ISNUMBER($R29),$R29&lt;Baseline!$B$9),"Low AI confidence - verify",IF(AND($H29="Fully Compliant",$J29&lt;&gt;"GREEN"),"Declared Fully - evidence differs","")))))</f>
        <v/>
      </c>
      <c r="N29" s="58">
        <f>IF($A29="","",IFERROR(INDEX(Baseline!$D$20:$D$49,MATCH($C29,Baseline!$A$20:$A$49,0)),""))</f>
        <v/>
      </c>
      <c r="O29" s="58">
        <f>IF($A29="","",IFERROR(INDEX(Baseline!$F$20:$F$49,MATCH($C29,Baseline!$A$20:$A$49,0)),0))</f>
        <v/>
      </c>
      <c r="P29" s="58">
        <f>IF($A29="","",IFERROR(INDEX(Baseline!$G$20:$G$49,MATCH($C29,Baseline!$A$20:$A$49,0)),"RED"))</f>
        <v/>
      </c>
      <c r="Q29" s="58">
        <f>IF($A29="","",$A29&amp;"|"&amp;$B29&amp;"|"&amp;$C29)</f>
        <v/>
      </c>
      <c r="R29" s="59" t="n"/>
      <c r="S29" s="60" t="n"/>
    </row>
    <row r="30" ht="15" customHeight="1" s="34">
      <c r="A30" s="54" t="n"/>
      <c r="B30" s="54" t="n"/>
      <c r="C30" s="54" t="n"/>
      <c r="D30" s="55">
        <f>IF($A30="","",IFERROR(INDEX(Baseline!$B$20:$B$49,MATCH($C30,Baseline!$A$20:$A$49,0)),"Line not in baseline"))</f>
        <v/>
      </c>
      <c r="E30" s="55">
        <f>IF($A30="","",IFERROR(INDEX(Baseline!$C$20:$C$49,MATCH($C30,Baseline!$A$20:$A$49,0)),""))</f>
        <v/>
      </c>
      <c r="F30" s="56">
        <f>IF($A30="","",IFERROR(INDEX(Baseline!$E$20:$E$49,MATCH($C30,Baseline!$A$20:$A$49,0)),""))</f>
        <v/>
      </c>
      <c r="G30" s="57" t="n"/>
      <c r="H30" s="54" t="n"/>
      <c r="I30" s="54" t="n"/>
      <c r="J30" s="39">
        <f>IF($A30="","",IF($E30="Informational","GREEN",IF($G30="",IF($E30="Mandatory","RED","YELLOW"),IF($N30="Exact",IF(UPPER(TRIM($G30&amp;""))=UPPER(TRIM($F30&amp;"")),"GREEN",$P30),IF(NOT(ISNUMBER($G30)),$P30,IF($N30="Min",IF($G30&gt;=$F30,"GREEN",IF($G30&gt;=$F30-$O30,"YELLOW",$P30)),IF($N30="Max",IF($G30&lt;=$F30,"GREEN",IF($G30&lt;=$F30+$O30,"YELLOW",$P30)),IF($N30="Range",IF(ABS($G30-$F30)&lt;=$O30,"GREEN",$P30),"CHECK RULE"))))))))</f>
        <v/>
      </c>
      <c r="K30" s="39">
        <f>IF($A30="","",IF($H30="Non-Compliant","RED",IF(AND(OR($H30="Alternative Offer",$H30="Partially Compliant"),$J30="GREEN"),"YELLOW",IF(AND($J30="GREEN",ISNUMBER($R30),$R30&lt;Baseline!$B$9),"YELLOW",$J30))))</f>
        <v/>
      </c>
      <c r="L30" s="39">
        <f>IF($A30="","",IF($K30="GREEN","GREEN",IF(COUNTIFS(Exceptions!$B$5:$B$104,$A30,Exceptions!$C$5:$C$104,$B30,Exceptions!$D$5:$D$104,$C30,Exceptions!$G$5:$G$104,"Accepted",Exceptions!$H$5:$H$104,"&lt;&gt;")&gt;0,"CLEARED",$K30)))</f>
        <v/>
      </c>
      <c r="M30" s="39">
        <f>IF($A30="","",IF($H30="","Declaration missing",IF($H30="Not Stated","Not stated in quotation",IF(AND(ISNUMBER($R30),$R30&lt;Baseline!$B$9),"Low AI confidence - verify",IF(AND($H30="Fully Compliant",$J30&lt;&gt;"GREEN"),"Declared Fully - evidence differs","")))))</f>
        <v/>
      </c>
      <c r="N30" s="58">
        <f>IF($A30="","",IFERROR(INDEX(Baseline!$D$20:$D$49,MATCH($C30,Baseline!$A$20:$A$49,0)),""))</f>
        <v/>
      </c>
      <c r="O30" s="58">
        <f>IF($A30="","",IFERROR(INDEX(Baseline!$F$20:$F$49,MATCH($C30,Baseline!$A$20:$A$49,0)),0))</f>
        <v/>
      </c>
      <c r="P30" s="58">
        <f>IF($A30="","",IFERROR(INDEX(Baseline!$G$20:$G$49,MATCH($C30,Baseline!$A$20:$A$49,0)),"RED"))</f>
        <v/>
      </c>
      <c r="Q30" s="58">
        <f>IF($A30="","",$A30&amp;"|"&amp;$B30&amp;"|"&amp;$C30)</f>
        <v/>
      </c>
      <c r="R30" s="59" t="n"/>
      <c r="S30" s="60" t="n"/>
    </row>
    <row r="31" ht="15" customHeight="1" s="34">
      <c r="A31" s="54" t="n"/>
      <c r="B31" s="54" t="n"/>
      <c r="C31" s="54" t="n"/>
      <c r="D31" s="55">
        <f>IF($A31="","",IFERROR(INDEX(Baseline!$B$20:$B$49,MATCH($C31,Baseline!$A$20:$A$49,0)),"Line not in baseline"))</f>
        <v/>
      </c>
      <c r="E31" s="55">
        <f>IF($A31="","",IFERROR(INDEX(Baseline!$C$20:$C$49,MATCH($C31,Baseline!$A$20:$A$49,0)),""))</f>
        <v/>
      </c>
      <c r="F31" s="56">
        <f>IF($A31="","",IFERROR(INDEX(Baseline!$E$20:$E$49,MATCH($C31,Baseline!$A$20:$A$49,0)),""))</f>
        <v/>
      </c>
      <c r="G31" s="57" t="n"/>
      <c r="H31" s="54" t="n"/>
      <c r="I31" s="54" t="n"/>
      <c r="J31" s="39">
        <f>IF($A31="","",IF($E31="Informational","GREEN",IF($G31="",IF($E31="Mandatory","RED","YELLOW"),IF($N31="Exact",IF(UPPER(TRIM($G31&amp;""))=UPPER(TRIM($F31&amp;"")),"GREEN",$P31),IF(NOT(ISNUMBER($G31)),$P31,IF($N31="Min",IF($G31&gt;=$F31,"GREEN",IF($G31&gt;=$F31-$O31,"YELLOW",$P31)),IF($N31="Max",IF($G31&lt;=$F31,"GREEN",IF($G31&lt;=$F31+$O31,"YELLOW",$P31)),IF($N31="Range",IF(ABS($G31-$F31)&lt;=$O31,"GREEN",$P31),"CHECK RULE"))))))))</f>
        <v/>
      </c>
      <c r="K31" s="39">
        <f>IF($A31="","",IF($H31="Non-Compliant","RED",IF(AND(OR($H31="Alternative Offer",$H31="Partially Compliant"),$J31="GREEN"),"YELLOW",IF(AND($J31="GREEN",ISNUMBER($R31),$R31&lt;Baseline!$B$9),"YELLOW",$J31))))</f>
        <v/>
      </c>
      <c r="L31" s="39">
        <f>IF($A31="","",IF($K31="GREEN","GREEN",IF(COUNTIFS(Exceptions!$B$5:$B$104,$A31,Exceptions!$C$5:$C$104,$B31,Exceptions!$D$5:$D$104,$C31,Exceptions!$G$5:$G$104,"Accepted",Exceptions!$H$5:$H$104,"&lt;&gt;")&gt;0,"CLEARED",$K31)))</f>
        <v/>
      </c>
      <c r="M31" s="39">
        <f>IF($A31="","",IF($H31="","Declaration missing",IF($H31="Not Stated","Not stated in quotation",IF(AND(ISNUMBER($R31),$R31&lt;Baseline!$B$9),"Low AI confidence - verify",IF(AND($H31="Fully Compliant",$J31&lt;&gt;"GREEN"),"Declared Fully - evidence differs","")))))</f>
        <v/>
      </c>
      <c r="N31" s="58">
        <f>IF($A31="","",IFERROR(INDEX(Baseline!$D$20:$D$49,MATCH($C31,Baseline!$A$20:$A$49,0)),""))</f>
        <v/>
      </c>
      <c r="O31" s="58">
        <f>IF($A31="","",IFERROR(INDEX(Baseline!$F$20:$F$49,MATCH($C31,Baseline!$A$20:$A$49,0)),0))</f>
        <v/>
      </c>
      <c r="P31" s="58">
        <f>IF($A31="","",IFERROR(INDEX(Baseline!$G$20:$G$49,MATCH($C31,Baseline!$A$20:$A$49,0)),"RED"))</f>
        <v/>
      </c>
      <c r="Q31" s="58">
        <f>IF($A31="","",$A31&amp;"|"&amp;$B31&amp;"|"&amp;$C31)</f>
        <v/>
      </c>
      <c r="R31" s="59" t="n"/>
      <c r="S31" s="60" t="n"/>
    </row>
    <row r="32" ht="15" customHeight="1" s="34">
      <c r="A32" s="54" t="n"/>
      <c r="B32" s="54" t="n"/>
      <c r="C32" s="54" t="n"/>
      <c r="D32" s="55">
        <f>IF($A32="","",IFERROR(INDEX(Baseline!$B$20:$B$49,MATCH($C32,Baseline!$A$20:$A$49,0)),"Line not in baseline"))</f>
        <v/>
      </c>
      <c r="E32" s="55">
        <f>IF($A32="","",IFERROR(INDEX(Baseline!$C$20:$C$49,MATCH($C32,Baseline!$A$20:$A$49,0)),""))</f>
        <v/>
      </c>
      <c r="F32" s="56">
        <f>IF($A32="","",IFERROR(INDEX(Baseline!$E$20:$E$49,MATCH($C32,Baseline!$A$20:$A$49,0)),""))</f>
        <v/>
      </c>
      <c r="G32" s="57" t="n"/>
      <c r="H32" s="54" t="n"/>
      <c r="I32" s="54" t="n"/>
      <c r="J32" s="39">
        <f>IF($A32="","",IF($E32="Informational","GREEN",IF($G32="",IF($E32="Mandatory","RED","YELLOW"),IF($N32="Exact",IF(UPPER(TRIM($G32&amp;""))=UPPER(TRIM($F32&amp;"")),"GREEN",$P32),IF(NOT(ISNUMBER($G32)),$P32,IF($N32="Min",IF($G32&gt;=$F32,"GREEN",IF($G32&gt;=$F32-$O32,"YELLOW",$P32)),IF($N32="Max",IF($G32&lt;=$F32,"GREEN",IF($G32&lt;=$F32+$O32,"YELLOW",$P32)),IF($N32="Range",IF(ABS($G32-$F32)&lt;=$O32,"GREEN",$P32),"CHECK RULE"))))))))</f>
        <v/>
      </c>
      <c r="K32" s="39">
        <f>IF($A32="","",IF($H32="Non-Compliant","RED",IF(AND(OR($H32="Alternative Offer",$H32="Partially Compliant"),$J32="GREEN"),"YELLOW",IF(AND($J32="GREEN",ISNUMBER($R32),$R32&lt;Baseline!$B$9),"YELLOW",$J32))))</f>
        <v/>
      </c>
      <c r="L32" s="39">
        <f>IF($A32="","",IF($K32="GREEN","GREEN",IF(COUNTIFS(Exceptions!$B$5:$B$104,$A32,Exceptions!$C$5:$C$104,$B32,Exceptions!$D$5:$D$104,$C32,Exceptions!$G$5:$G$104,"Accepted",Exceptions!$H$5:$H$104,"&lt;&gt;")&gt;0,"CLEARED",$K32)))</f>
        <v/>
      </c>
      <c r="M32" s="39">
        <f>IF($A32="","",IF($H32="","Declaration missing",IF($H32="Not Stated","Not stated in quotation",IF(AND(ISNUMBER($R32),$R32&lt;Baseline!$B$9),"Low AI confidence - verify",IF(AND($H32="Fully Compliant",$J32&lt;&gt;"GREEN"),"Declared Fully - evidence differs","")))))</f>
        <v/>
      </c>
      <c r="N32" s="58">
        <f>IF($A32="","",IFERROR(INDEX(Baseline!$D$20:$D$49,MATCH($C32,Baseline!$A$20:$A$49,0)),""))</f>
        <v/>
      </c>
      <c r="O32" s="58">
        <f>IF($A32="","",IFERROR(INDEX(Baseline!$F$20:$F$49,MATCH($C32,Baseline!$A$20:$A$49,0)),0))</f>
        <v/>
      </c>
      <c r="P32" s="58">
        <f>IF($A32="","",IFERROR(INDEX(Baseline!$G$20:$G$49,MATCH($C32,Baseline!$A$20:$A$49,0)),"RED"))</f>
        <v/>
      </c>
      <c r="Q32" s="58">
        <f>IF($A32="","",$A32&amp;"|"&amp;$B32&amp;"|"&amp;$C32)</f>
        <v/>
      </c>
      <c r="R32" s="59" t="n"/>
      <c r="S32" s="60" t="n"/>
    </row>
    <row r="33" ht="15" customHeight="1" s="34">
      <c r="A33" s="54" t="n"/>
      <c r="B33" s="54" t="n"/>
      <c r="C33" s="54" t="n"/>
      <c r="D33" s="55">
        <f>IF($A33="","",IFERROR(INDEX(Baseline!$B$20:$B$49,MATCH($C33,Baseline!$A$20:$A$49,0)),"Line not in baseline"))</f>
        <v/>
      </c>
      <c r="E33" s="55">
        <f>IF($A33="","",IFERROR(INDEX(Baseline!$C$20:$C$49,MATCH($C33,Baseline!$A$20:$A$49,0)),""))</f>
        <v/>
      </c>
      <c r="F33" s="56">
        <f>IF($A33="","",IFERROR(INDEX(Baseline!$E$20:$E$49,MATCH($C33,Baseline!$A$20:$A$49,0)),""))</f>
        <v/>
      </c>
      <c r="G33" s="57" t="n"/>
      <c r="H33" s="54" t="n"/>
      <c r="I33" s="54" t="n"/>
      <c r="J33" s="39">
        <f>IF($A33="","",IF($E33="Informational","GREEN",IF($G33="",IF($E33="Mandatory","RED","YELLOW"),IF($N33="Exact",IF(UPPER(TRIM($G33&amp;""))=UPPER(TRIM($F33&amp;"")),"GREEN",$P33),IF(NOT(ISNUMBER($G33)),$P33,IF($N33="Min",IF($G33&gt;=$F33,"GREEN",IF($G33&gt;=$F33-$O33,"YELLOW",$P33)),IF($N33="Max",IF($G33&lt;=$F33,"GREEN",IF($G33&lt;=$F33+$O33,"YELLOW",$P33)),IF($N33="Range",IF(ABS($G33-$F33)&lt;=$O33,"GREEN",$P33),"CHECK RULE"))))))))</f>
        <v/>
      </c>
      <c r="K33" s="39">
        <f>IF($A33="","",IF($H33="Non-Compliant","RED",IF(AND(OR($H33="Alternative Offer",$H33="Partially Compliant"),$J33="GREEN"),"YELLOW",IF(AND($J33="GREEN",ISNUMBER($R33),$R33&lt;Baseline!$B$9),"YELLOW",$J33))))</f>
        <v/>
      </c>
      <c r="L33" s="39">
        <f>IF($A33="","",IF($K33="GREEN","GREEN",IF(COUNTIFS(Exceptions!$B$5:$B$104,$A33,Exceptions!$C$5:$C$104,$B33,Exceptions!$D$5:$D$104,$C33,Exceptions!$G$5:$G$104,"Accepted",Exceptions!$H$5:$H$104,"&lt;&gt;")&gt;0,"CLEARED",$K33)))</f>
        <v/>
      </c>
      <c r="M33" s="39">
        <f>IF($A33="","",IF($H33="","Declaration missing",IF($H33="Not Stated","Not stated in quotation",IF(AND(ISNUMBER($R33),$R33&lt;Baseline!$B$9),"Low AI confidence - verify",IF(AND($H33="Fully Compliant",$J33&lt;&gt;"GREEN"),"Declared Fully - evidence differs","")))))</f>
        <v/>
      </c>
      <c r="N33" s="58">
        <f>IF($A33="","",IFERROR(INDEX(Baseline!$D$20:$D$49,MATCH($C33,Baseline!$A$20:$A$49,0)),""))</f>
        <v/>
      </c>
      <c r="O33" s="58">
        <f>IF($A33="","",IFERROR(INDEX(Baseline!$F$20:$F$49,MATCH($C33,Baseline!$A$20:$A$49,0)),0))</f>
        <v/>
      </c>
      <c r="P33" s="58">
        <f>IF($A33="","",IFERROR(INDEX(Baseline!$G$20:$G$49,MATCH($C33,Baseline!$A$20:$A$49,0)),"RED"))</f>
        <v/>
      </c>
      <c r="Q33" s="58">
        <f>IF($A33="","",$A33&amp;"|"&amp;$B33&amp;"|"&amp;$C33)</f>
        <v/>
      </c>
      <c r="R33" s="59" t="n"/>
      <c r="S33" s="60" t="n"/>
    </row>
    <row r="34" ht="15" customHeight="1" s="34">
      <c r="A34" s="54" t="n"/>
      <c r="B34" s="54" t="n"/>
      <c r="C34" s="54" t="n"/>
      <c r="D34" s="55">
        <f>IF($A34="","",IFERROR(INDEX(Baseline!$B$20:$B$49,MATCH($C34,Baseline!$A$20:$A$49,0)),"Line not in baseline"))</f>
        <v/>
      </c>
      <c r="E34" s="55">
        <f>IF($A34="","",IFERROR(INDEX(Baseline!$C$20:$C$49,MATCH($C34,Baseline!$A$20:$A$49,0)),""))</f>
        <v/>
      </c>
      <c r="F34" s="56">
        <f>IF($A34="","",IFERROR(INDEX(Baseline!$E$20:$E$49,MATCH($C34,Baseline!$A$20:$A$49,0)),""))</f>
        <v/>
      </c>
      <c r="G34" s="57" t="n"/>
      <c r="H34" s="54" t="n"/>
      <c r="I34" s="54" t="n"/>
      <c r="J34" s="39">
        <f>IF($A34="","",IF($E34="Informational","GREEN",IF($G34="",IF($E34="Mandatory","RED","YELLOW"),IF($N34="Exact",IF(UPPER(TRIM($G34&amp;""))=UPPER(TRIM($F34&amp;"")),"GREEN",$P34),IF(NOT(ISNUMBER($G34)),$P34,IF($N34="Min",IF($G34&gt;=$F34,"GREEN",IF($G34&gt;=$F34-$O34,"YELLOW",$P34)),IF($N34="Max",IF($G34&lt;=$F34,"GREEN",IF($G34&lt;=$F34+$O34,"YELLOW",$P34)),IF($N34="Range",IF(ABS($G34-$F34)&lt;=$O34,"GREEN",$P34),"CHECK RULE"))))))))</f>
        <v/>
      </c>
      <c r="K34" s="39">
        <f>IF($A34="","",IF($H34="Non-Compliant","RED",IF(AND(OR($H34="Alternative Offer",$H34="Partially Compliant"),$J34="GREEN"),"YELLOW",IF(AND($J34="GREEN",ISNUMBER($R34),$R34&lt;Baseline!$B$9),"YELLOW",$J34))))</f>
        <v/>
      </c>
      <c r="L34" s="39">
        <f>IF($A34="","",IF($K34="GREEN","GREEN",IF(COUNTIFS(Exceptions!$B$5:$B$104,$A34,Exceptions!$C$5:$C$104,$B34,Exceptions!$D$5:$D$104,$C34,Exceptions!$G$5:$G$104,"Accepted",Exceptions!$H$5:$H$104,"&lt;&gt;")&gt;0,"CLEARED",$K34)))</f>
        <v/>
      </c>
      <c r="M34" s="39">
        <f>IF($A34="","",IF($H34="","Declaration missing",IF($H34="Not Stated","Not stated in quotation",IF(AND(ISNUMBER($R34),$R34&lt;Baseline!$B$9),"Low AI confidence - verify",IF(AND($H34="Fully Compliant",$J34&lt;&gt;"GREEN"),"Declared Fully - evidence differs","")))))</f>
        <v/>
      </c>
      <c r="N34" s="58">
        <f>IF($A34="","",IFERROR(INDEX(Baseline!$D$20:$D$49,MATCH($C34,Baseline!$A$20:$A$49,0)),""))</f>
        <v/>
      </c>
      <c r="O34" s="58">
        <f>IF($A34="","",IFERROR(INDEX(Baseline!$F$20:$F$49,MATCH($C34,Baseline!$A$20:$A$49,0)),0))</f>
        <v/>
      </c>
      <c r="P34" s="58">
        <f>IF($A34="","",IFERROR(INDEX(Baseline!$G$20:$G$49,MATCH($C34,Baseline!$A$20:$A$49,0)),"RED"))</f>
        <v/>
      </c>
      <c r="Q34" s="58">
        <f>IF($A34="","",$A34&amp;"|"&amp;$B34&amp;"|"&amp;$C34)</f>
        <v/>
      </c>
      <c r="R34" s="59" t="n"/>
      <c r="S34" s="60" t="n"/>
    </row>
    <row r="35" ht="15" customHeight="1" s="34">
      <c r="A35" s="54" t="n"/>
      <c r="B35" s="54" t="n"/>
      <c r="C35" s="54" t="n"/>
      <c r="D35" s="55">
        <f>IF($A35="","",IFERROR(INDEX(Baseline!$B$20:$B$49,MATCH($C35,Baseline!$A$20:$A$49,0)),"Line not in baseline"))</f>
        <v/>
      </c>
      <c r="E35" s="55">
        <f>IF($A35="","",IFERROR(INDEX(Baseline!$C$20:$C$49,MATCH($C35,Baseline!$A$20:$A$49,0)),""))</f>
        <v/>
      </c>
      <c r="F35" s="56">
        <f>IF($A35="","",IFERROR(INDEX(Baseline!$E$20:$E$49,MATCH($C35,Baseline!$A$20:$A$49,0)),""))</f>
        <v/>
      </c>
      <c r="G35" s="57" t="n"/>
      <c r="H35" s="54" t="n"/>
      <c r="I35" s="54" t="n"/>
      <c r="J35" s="39">
        <f>IF($A35="","",IF($E35="Informational","GREEN",IF($G35="",IF($E35="Mandatory","RED","YELLOW"),IF($N35="Exact",IF(UPPER(TRIM($G35&amp;""))=UPPER(TRIM($F35&amp;"")),"GREEN",$P35),IF(NOT(ISNUMBER($G35)),$P35,IF($N35="Min",IF($G35&gt;=$F35,"GREEN",IF($G35&gt;=$F35-$O35,"YELLOW",$P35)),IF($N35="Max",IF($G35&lt;=$F35,"GREEN",IF($G35&lt;=$F35+$O35,"YELLOW",$P35)),IF($N35="Range",IF(ABS($G35-$F35)&lt;=$O35,"GREEN",$P35),"CHECK RULE"))))))))</f>
        <v/>
      </c>
      <c r="K35" s="39">
        <f>IF($A35="","",IF($H35="Non-Compliant","RED",IF(AND(OR($H35="Alternative Offer",$H35="Partially Compliant"),$J35="GREEN"),"YELLOW",IF(AND($J35="GREEN",ISNUMBER($R35),$R35&lt;Baseline!$B$9),"YELLOW",$J35))))</f>
        <v/>
      </c>
      <c r="L35" s="39">
        <f>IF($A35="","",IF($K35="GREEN","GREEN",IF(COUNTIFS(Exceptions!$B$5:$B$104,$A35,Exceptions!$C$5:$C$104,$B35,Exceptions!$D$5:$D$104,$C35,Exceptions!$G$5:$G$104,"Accepted",Exceptions!$H$5:$H$104,"&lt;&gt;")&gt;0,"CLEARED",$K35)))</f>
        <v/>
      </c>
      <c r="M35" s="39">
        <f>IF($A35="","",IF($H35="","Declaration missing",IF($H35="Not Stated","Not stated in quotation",IF(AND(ISNUMBER($R35),$R35&lt;Baseline!$B$9),"Low AI confidence - verify",IF(AND($H35="Fully Compliant",$J35&lt;&gt;"GREEN"),"Declared Fully - evidence differs","")))))</f>
        <v/>
      </c>
      <c r="N35" s="58">
        <f>IF($A35="","",IFERROR(INDEX(Baseline!$D$20:$D$49,MATCH($C35,Baseline!$A$20:$A$49,0)),""))</f>
        <v/>
      </c>
      <c r="O35" s="58">
        <f>IF($A35="","",IFERROR(INDEX(Baseline!$F$20:$F$49,MATCH($C35,Baseline!$A$20:$A$49,0)),0))</f>
        <v/>
      </c>
      <c r="P35" s="58">
        <f>IF($A35="","",IFERROR(INDEX(Baseline!$G$20:$G$49,MATCH($C35,Baseline!$A$20:$A$49,0)),"RED"))</f>
        <v/>
      </c>
      <c r="Q35" s="58">
        <f>IF($A35="","",$A35&amp;"|"&amp;$B35&amp;"|"&amp;$C35)</f>
        <v/>
      </c>
      <c r="R35" s="59" t="n"/>
      <c r="S35" s="60" t="n"/>
    </row>
    <row r="36" ht="15" customHeight="1" s="34">
      <c r="A36" s="54" t="n"/>
      <c r="B36" s="54" t="n"/>
      <c r="C36" s="54" t="n"/>
      <c r="D36" s="55">
        <f>IF($A36="","",IFERROR(INDEX(Baseline!$B$20:$B$49,MATCH($C36,Baseline!$A$20:$A$49,0)),"Line not in baseline"))</f>
        <v/>
      </c>
      <c r="E36" s="55">
        <f>IF($A36="","",IFERROR(INDEX(Baseline!$C$20:$C$49,MATCH($C36,Baseline!$A$20:$A$49,0)),""))</f>
        <v/>
      </c>
      <c r="F36" s="56">
        <f>IF($A36="","",IFERROR(INDEX(Baseline!$E$20:$E$49,MATCH($C36,Baseline!$A$20:$A$49,0)),""))</f>
        <v/>
      </c>
      <c r="G36" s="57" t="n"/>
      <c r="H36" s="54" t="n"/>
      <c r="I36" s="54" t="n"/>
      <c r="J36" s="39">
        <f>IF($A36="","",IF($E36="Informational","GREEN",IF($G36="",IF($E36="Mandatory","RED","YELLOW"),IF($N36="Exact",IF(UPPER(TRIM($G36&amp;""))=UPPER(TRIM($F36&amp;"")),"GREEN",$P36),IF(NOT(ISNUMBER($G36)),$P36,IF($N36="Min",IF($G36&gt;=$F36,"GREEN",IF($G36&gt;=$F36-$O36,"YELLOW",$P36)),IF($N36="Max",IF($G36&lt;=$F36,"GREEN",IF($G36&lt;=$F36+$O36,"YELLOW",$P36)),IF($N36="Range",IF(ABS($G36-$F36)&lt;=$O36,"GREEN",$P36),"CHECK RULE"))))))))</f>
        <v/>
      </c>
      <c r="K36" s="39">
        <f>IF($A36="","",IF($H36="Non-Compliant","RED",IF(AND(OR($H36="Alternative Offer",$H36="Partially Compliant"),$J36="GREEN"),"YELLOW",IF(AND($J36="GREEN",ISNUMBER($R36),$R36&lt;Baseline!$B$9),"YELLOW",$J36))))</f>
        <v/>
      </c>
      <c r="L36" s="39">
        <f>IF($A36="","",IF($K36="GREEN","GREEN",IF(COUNTIFS(Exceptions!$B$5:$B$104,$A36,Exceptions!$C$5:$C$104,$B36,Exceptions!$D$5:$D$104,$C36,Exceptions!$G$5:$G$104,"Accepted",Exceptions!$H$5:$H$104,"&lt;&gt;")&gt;0,"CLEARED",$K36)))</f>
        <v/>
      </c>
      <c r="M36" s="39">
        <f>IF($A36="","",IF($H36="","Declaration missing",IF($H36="Not Stated","Not stated in quotation",IF(AND(ISNUMBER($R36),$R36&lt;Baseline!$B$9),"Low AI confidence - verify",IF(AND($H36="Fully Compliant",$J36&lt;&gt;"GREEN"),"Declared Fully - evidence differs","")))))</f>
        <v/>
      </c>
      <c r="N36" s="58">
        <f>IF($A36="","",IFERROR(INDEX(Baseline!$D$20:$D$49,MATCH($C36,Baseline!$A$20:$A$49,0)),""))</f>
        <v/>
      </c>
      <c r="O36" s="58">
        <f>IF($A36="","",IFERROR(INDEX(Baseline!$F$20:$F$49,MATCH($C36,Baseline!$A$20:$A$49,0)),0))</f>
        <v/>
      </c>
      <c r="P36" s="58">
        <f>IF($A36="","",IFERROR(INDEX(Baseline!$G$20:$G$49,MATCH($C36,Baseline!$A$20:$A$49,0)),"RED"))</f>
        <v/>
      </c>
      <c r="Q36" s="58">
        <f>IF($A36="","",$A36&amp;"|"&amp;$B36&amp;"|"&amp;$C36)</f>
        <v/>
      </c>
      <c r="R36" s="59" t="n"/>
      <c r="S36" s="60" t="n"/>
    </row>
    <row r="37" ht="15" customHeight="1" s="34">
      <c r="A37" s="54" t="n"/>
      <c r="B37" s="54" t="n"/>
      <c r="C37" s="54" t="n"/>
      <c r="D37" s="55">
        <f>IF($A37="","",IFERROR(INDEX(Baseline!$B$20:$B$49,MATCH($C37,Baseline!$A$20:$A$49,0)),"Line not in baseline"))</f>
        <v/>
      </c>
      <c r="E37" s="55">
        <f>IF($A37="","",IFERROR(INDEX(Baseline!$C$20:$C$49,MATCH($C37,Baseline!$A$20:$A$49,0)),""))</f>
        <v/>
      </c>
      <c r="F37" s="56">
        <f>IF($A37="","",IFERROR(INDEX(Baseline!$E$20:$E$49,MATCH($C37,Baseline!$A$20:$A$49,0)),""))</f>
        <v/>
      </c>
      <c r="G37" s="57" t="n"/>
      <c r="H37" s="54" t="n"/>
      <c r="I37" s="54" t="n"/>
      <c r="J37" s="39">
        <f>IF($A37="","",IF($E37="Informational","GREEN",IF($G37="",IF($E37="Mandatory","RED","YELLOW"),IF($N37="Exact",IF(UPPER(TRIM($G37&amp;""))=UPPER(TRIM($F37&amp;"")),"GREEN",$P37),IF(NOT(ISNUMBER($G37)),$P37,IF($N37="Min",IF($G37&gt;=$F37,"GREEN",IF($G37&gt;=$F37-$O37,"YELLOW",$P37)),IF($N37="Max",IF($G37&lt;=$F37,"GREEN",IF($G37&lt;=$F37+$O37,"YELLOW",$P37)),IF($N37="Range",IF(ABS($G37-$F37)&lt;=$O37,"GREEN",$P37),"CHECK RULE"))))))))</f>
        <v/>
      </c>
      <c r="K37" s="39">
        <f>IF($A37="","",IF($H37="Non-Compliant","RED",IF(AND(OR($H37="Alternative Offer",$H37="Partially Compliant"),$J37="GREEN"),"YELLOW",IF(AND($J37="GREEN",ISNUMBER($R37),$R37&lt;Baseline!$B$9),"YELLOW",$J37))))</f>
        <v/>
      </c>
      <c r="L37" s="39">
        <f>IF($A37="","",IF($K37="GREEN","GREEN",IF(COUNTIFS(Exceptions!$B$5:$B$104,$A37,Exceptions!$C$5:$C$104,$B37,Exceptions!$D$5:$D$104,$C37,Exceptions!$G$5:$G$104,"Accepted",Exceptions!$H$5:$H$104,"&lt;&gt;")&gt;0,"CLEARED",$K37)))</f>
        <v/>
      </c>
      <c r="M37" s="39">
        <f>IF($A37="","",IF($H37="","Declaration missing",IF($H37="Not Stated","Not stated in quotation",IF(AND(ISNUMBER($R37),$R37&lt;Baseline!$B$9),"Low AI confidence - verify",IF(AND($H37="Fully Compliant",$J37&lt;&gt;"GREEN"),"Declared Fully - evidence differs","")))))</f>
        <v/>
      </c>
      <c r="N37" s="58">
        <f>IF($A37="","",IFERROR(INDEX(Baseline!$D$20:$D$49,MATCH($C37,Baseline!$A$20:$A$49,0)),""))</f>
        <v/>
      </c>
      <c r="O37" s="58">
        <f>IF($A37="","",IFERROR(INDEX(Baseline!$F$20:$F$49,MATCH($C37,Baseline!$A$20:$A$49,0)),0))</f>
        <v/>
      </c>
      <c r="P37" s="58">
        <f>IF($A37="","",IFERROR(INDEX(Baseline!$G$20:$G$49,MATCH($C37,Baseline!$A$20:$A$49,0)),"RED"))</f>
        <v/>
      </c>
      <c r="Q37" s="58">
        <f>IF($A37="","",$A37&amp;"|"&amp;$B37&amp;"|"&amp;$C37)</f>
        <v/>
      </c>
      <c r="R37" s="59" t="n"/>
      <c r="S37" s="60" t="n"/>
    </row>
    <row r="38" ht="15" customHeight="1" s="34">
      <c r="A38" s="54" t="n"/>
      <c r="B38" s="54" t="n"/>
      <c r="C38" s="54" t="n"/>
      <c r="D38" s="55">
        <f>IF($A38="","",IFERROR(INDEX(Baseline!$B$20:$B$49,MATCH($C38,Baseline!$A$20:$A$49,0)),"Line not in baseline"))</f>
        <v/>
      </c>
      <c r="E38" s="55">
        <f>IF($A38="","",IFERROR(INDEX(Baseline!$C$20:$C$49,MATCH($C38,Baseline!$A$20:$A$49,0)),""))</f>
        <v/>
      </c>
      <c r="F38" s="56">
        <f>IF($A38="","",IFERROR(INDEX(Baseline!$E$20:$E$49,MATCH($C38,Baseline!$A$20:$A$49,0)),""))</f>
        <v/>
      </c>
      <c r="G38" s="57" t="n"/>
      <c r="H38" s="54" t="n"/>
      <c r="I38" s="54" t="n"/>
      <c r="J38" s="39">
        <f>IF($A38="","",IF($E38="Informational","GREEN",IF($G38="",IF($E38="Mandatory","RED","YELLOW"),IF($N38="Exact",IF(UPPER(TRIM($G38&amp;""))=UPPER(TRIM($F38&amp;"")),"GREEN",$P38),IF(NOT(ISNUMBER($G38)),$P38,IF($N38="Min",IF($G38&gt;=$F38,"GREEN",IF($G38&gt;=$F38-$O38,"YELLOW",$P38)),IF($N38="Max",IF($G38&lt;=$F38,"GREEN",IF($G38&lt;=$F38+$O38,"YELLOW",$P38)),IF($N38="Range",IF(ABS($G38-$F38)&lt;=$O38,"GREEN",$P38),"CHECK RULE"))))))))</f>
        <v/>
      </c>
      <c r="K38" s="39">
        <f>IF($A38="","",IF($H38="Non-Compliant","RED",IF(AND(OR($H38="Alternative Offer",$H38="Partially Compliant"),$J38="GREEN"),"YELLOW",IF(AND($J38="GREEN",ISNUMBER($R38),$R38&lt;Baseline!$B$9),"YELLOW",$J38))))</f>
        <v/>
      </c>
      <c r="L38" s="39">
        <f>IF($A38="","",IF($K38="GREEN","GREEN",IF(COUNTIFS(Exceptions!$B$5:$B$104,$A38,Exceptions!$C$5:$C$104,$B38,Exceptions!$D$5:$D$104,$C38,Exceptions!$G$5:$G$104,"Accepted",Exceptions!$H$5:$H$104,"&lt;&gt;")&gt;0,"CLEARED",$K38)))</f>
        <v/>
      </c>
      <c r="M38" s="39">
        <f>IF($A38="","",IF($H38="","Declaration missing",IF($H38="Not Stated","Not stated in quotation",IF(AND(ISNUMBER($R38),$R38&lt;Baseline!$B$9),"Low AI confidence - verify",IF(AND($H38="Fully Compliant",$J38&lt;&gt;"GREEN"),"Declared Fully - evidence differs","")))))</f>
        <v/>
      </c>
      <c r="N38" s="58">
        <f>IF($A38="","",IFERROR(INDEX(Baseline!$D$20:$D$49,MATCH($C38,Baseline!$A$20:$A$49,0)),""))</f>
        <v/>
      </c>
      <c r="O38" s="58">
        <f>IF($A38="","",IFERROR(INDEX(Baseline!$F$20:$F$49,MATCH($C38,Baseline!$A$20:$A$49,0)),0))</f>
        <v/>
      </c>
      <c r="P38" s="58">
        <f>IF($A38="","",IFERROR(INDEX(Baseline!$G$20:$G$49,MATCH($C38,Baseline!$A$20:$A$49,0)),"RED"))</f>
        <v/>
      </c>
      <c r="Q38" s="58">
        <f>IF($A38="","",$A38&amp;"|"&amp;$B38&amp;"|"&amp;$C38)</f>
        <v/>
      </c>
      <c r="R38" s="59" t="n"/>
      <c r="S38" s="60" t="n"/>
    </row>
    <row r="39" ht="15" customHeight="1" s="34">
      <c r="A39" s="54" t="n"/>
      <c r="B39" s="54" t="n"/>
      <c r="C39" s="54" t="n"/>
      <c r="D39" s="55">
        <f>IF($A39="","",IFERROR(INDEX(Baseline!$B$20:$B$49,MATCH($C39,Baseline!$A$20:$A$49,0)),"Line not in baseline"))</f>
        <v/>
      </c>
      <c r="E39" s="55">
        <f>IF($A39="","",IFERROR(INDEX(Baseline!$C$20:$C$49,MATCH($C39,Baseline!$A$20:$A$49,0)),""))</f>
        <v/>
      </c>
      <c r="F39" s="56">
        <f>IF($A39="","",IFERROR(INDEX(Baseline!$E$20:$E$49,MATCH($C39,Baseline!$A$20:$A$49,0)),""))</f>
        <v/>
      </c>
      <c r="G39" s="57" t="n"/>
      <c r="H39" s="54" t="n"/>
      <c r="I39" s="54" t="n"/>
      <c r="J39" s="39">
        <f>IF($A39="","",IF($E39="Informational","GREEN",IF($G39="",IF($E39="Mandatory","RED","YELLOW"),IF($N39="Exact",IF(UPPER(TRIM($G39&amp;""))=UPPER(TRIM($F39&amp;"")),"GREEN",$P39),IF(NOT(ISNUMBER($G39)),$P39,IF($N39="Min",IF($G39&gt;=$F39,"GREEN",IF($G39&gt;=$F39-$O39,"YELLOW",$P39)),IF($N39="Max",IF($G39&lt;=$F39,"GREEN",IF($G39&lt;=$F39+$O39,"YELLOW",$P39)),IF($N39="Range",IF(ABS($G39-$F39)&lt;=$O39,"GREEN",$P39),"CHECK RULE"))))))))</f>
        <v/>
      </c>
      <c r="K39" s="39">
        <f>IF($A39="","",IF($H39="Non-Compliant","RED",IF(AND(OR($H39="Alternative Offer",$H39="Partially Compliant"),$J39="GREEN"),"YELLOW",IF(AND($J39="GREEN",ISNUMBER($R39),$R39&lt;Baseline!$B$9),"YELLOW",$J39))))</f>
        <v/>
      </c>
      <c r="L39" s="39">
        <f>IF($A39="","",IF($K39="GREEN","GREEN",IF(COUNTIFS(Exceptions!$B$5:$B$104,$A39,Exceptions!$C$5:$C$104,$B39,Exceptions!$D$5:$D$104,$C39,Exceptions!$G$5:$G$104,"Accepted",Exceptions!$H$5:$H$104,"&lt;&gt;")&gt;0,"CLEARED",$K39)))</f>
        <v/>
      </c>
      <c r="M39" s="39">
        <f>IF($A39="","",IF($H39="","Declaration missing",IF($H39="Not Stated","Not stated in quotation",IF(AND(ISNUMBER($R39),$R39&lt;Baseline!$B$9),"Low AI confidence - verify",IF(AND($H39="Fully Compliant",$J39&lt;&gt;"GREEN"),"Declared Fully - evidence differs","")))))</f>
        <v/>
      </c>
      <c r="N39" s="58">
        <f>IF($A39="","",IFERROR(INDEX(Baseline!$D$20:$D$49,MATCH($C39,Baseline!$A$20:$A$49,0)),""))</f>
        <v/>
      </c>
      <c r="O39" s="58">
        <f>IF($A39="","",IFERROR(INDEX(Baseline!$F$20:$F$49,MATCH($C39,Baseline!$A$20:$A$49,0)),0))</f>
        <v/>
      </c>
      <c r="P39" s="58">
        <f>IF($A39="","",IFERROR(INDEX(Baseline!$G$20:$G$49,MATCH($C39,Baseline!$A$20:$A$49,0)),"RED"))</f>
        <v/>
      </c>
      <c r="Q39" s="58">
        <f>IF($A39="","",$A39&amp;"|"&amp;$B39&amp;"|"&amp;$C39)</f>
        <v/>
      </c>
      <c r="R39" s="59" t="n"/>
      <c r="S39" s="60" t="n"/>
    </row>
    <row r="40" ht="15" customHeight="1" s="34">
      <c r="A40" s="54" t="n"/>
      <c r="B40" s="54" t="n"/>
      <c r="C40" s="54" t="n"/>
      <c r="D40" s="55">
        <f>IF($A40="","",IFERROR(INDEX(Baseline!$B$20:$B$49,MATCH($C40,Baseline!$A$20:$A$49,0)),"Line not in baseline"))</f>
        <v/>
      </c>
      <c r="E40" s="55">
        <f>IF($A40="","",IFERROR(INDEX(Baseline!$C$20:$C$49,MATCH($C40,Baseline!$A$20:$A$49,0)),""))</f>
        <v/>
      </c>
      <c r="F40" s="56">
        <f>IF($A40="","",IFERROR(INDEX(Baseline!$E$20:$E$49,MATCH($C40,Baseline!$A$20:$A$49,0)),""))</f>
        <v/>
      </c>
      <c r="G40" s="57" t="n"/>
      <c r="H40" s="54" t="n"/>
      <c r="I40" s="54" t="n"/>
      <c r="J40" s="39">
        <f>IF($A40="","",IF($E40="Informational","GREEN",IF($G40="",IF($E40="Mandatory","RED","YELLOW"),IF($N40="Exact",IF(UPPER(TRIM($G40&amp;""))=UPPER(TRIM($F40&amp;"")),"GREEN",$P40),IF(NOT(ISNUMBER($G40)),$P40,IF($N40="Min",IF($G40&gt;=$F40,"GREEN",IF($G40&gt;=$F40-$O40,"YELLOW",$P40)),IF($N40="Max",IF($G40&lt;=$F40,"GREEN",IF($G40&lt;=$F40+$O40,"YELLOW",$P40)),IF($N40="Range",IF(ABS($G40-$F40)&lt;=$O40,"GREEN",$P40),"CHECK RULE"))))))))</f>
        <v/>
      </c>
      <c r="K40" s="39">
        <f>IF($A40="","",IF($H40="Non-Compliant","RED",IF(AND(OR($H40="Alternative Offer",$H40="Partially Compliant"),$J40="GREEN"),"YELLOW",IF(AND($J40="GREEN",ISNUMBER($R40),$R40&lt;Baseline!$B$9),"YELLOW",$J40))))</f>
        <v/>
      </c>
      <c r="L40" s="39">
        <f>IF($A40="","",IF($K40="GREEN","GREEN",IF(COUNTIFS(Exceptions!$B$5:$B$104,$A40,Exceptions!$C$5:$C$104,$B40,Exceptions!$D$5:$D$104,$C40,Exceptions!$G$5:$G$104,"Accepted",Exceptions!$H$5:$H$104,"&lt;&gt;")&gt;0,"CLEARED",$K40)))</f>
        <v/>
      </c>
      <c r="M40" s="39">
        <f>IF($A40="","",IF($H40="","Declaration missing",IF($H40="Not Stated","Not stated in quotation",IF(AND(ISNUMBER($R40),$R40&lt;Baseline!$B$9),"Low AI confidence - verify",IF(AND($H40="Fully Compliant",$J40&lt;&gt;"GREEN"),"Declared Fully - evidence differs","")))))</f>
        <v/>
      </c>
      <c r="N40" s="58">
        <f>IF($A40="","",IFERROR(INDEX(Baseline!$D$20:$D$49,MATCH($C40,Baseline!$A$20:$A$49,0)),""))</f>
        <v/>
      </c>
      <c r="O40" s="58">
        <f>IF($A40="","",IFERROR(INDEX(Baseline!$F$20:$F$49,MATCH($C40,Baseline!$A$20:$A$49,0)),0))</f>
        <v/>
      </c>
      <c r="P40" s="58">
        <f>IF($A40="","",IFERROR(INDEX(Baseline!$G$20:$G$49,MATCH($C40,Baseline!$A$20:$A$49,0)),"RED"))</f>
        <v/>
      </c>
      <c r="Q40" s="58">
        <f>IF($A40="","",$A40&amp;"|"&amp;$B40&amp;"|"&amp;$C40)</f>
        <v/>
      </c>
      <c r="R40" s="59" t="n"/>
      <c r="S40" s="60" t="n"/>
    </row>
    <row r="41" ht="15" customHeight="1" s="34">
      <c r="A41" s="54" t="n"/>
      <c r="B41" s="54" t="n"/>
      <c r="C41" s="54" t="n"/>
      <c r="D41" s="55">
        <f>IF($A41="","",IFERROR(INDEX(Baseline!$B$20:$B$49,MATCH($C41,Baseline!$A$20:$A$49,0)),"Line not in baseline"))</f>
        <v/>
      </c>
      <c r="E41" s="55">
        <f>IF($A41="","",IFERROR(INDEX(Baseline!$C$20:$C$49,MATCH($C41,Baseline!$A$20:$A$49,0)),""))</f>
        <v/>
      </c>
      <c r="F41" s="56">
        <f>IF($A41="","",IFERROR(INDEX(Baseline!$E$20:$E$49,MATCH($C41,Baseline!$A$20:$A$49,0)),""))</f>
        <v/>
      </c>
      <c r="G41" s="57" t="n"/>
      <c r="H41" s="54" t="n"/>
      <c r="I41" s="54" t="n"/>
      <c r="J41" s="39">
        <f>IF($A41="","",IF($E41="Informational","GREEN",IF($G41="",IF($E41="Mandatory","RED","YELLOW"),IF($N41="Exact",IF(UPPER(TRIM($G41&amp;""))=UPPER(TRIM($F41&amp;"")),"GREEN",$P41),IF(NOT(ISNUMBER($G41)),$P41,IF($N41="Min",IF($G41&gt;=$F41,"GREEN",IF($G41&gt;=$F41-$O41,"YELLOW",$P41)),IF($N41="Max",IF($G41&lt;=$F41,"GREEN",IF($G41&lt;=$F41+$O41,"YELLOW",$P41)),IF($N41="Range",IF(ABS($G41-$F41)&lt;=$O41,"GREEN",$P41),"CHECK RULE"))))))))</f>
        <v/>
      </c>
      <c r="K41" s="39">
        <f>IF($A41="","",IF($H41="Non-Compliant","RED",IF(AND(OR($H41="Alternative Offer",$H41="Partially Compliant"),$J41="GREEN"),"YELLOW",IF(AND($J41="GREEN",ISNUMBER($R41),$R41&lt;Baseline!$B$9),"YELLOW",$J41))))</f>
        <v/>
      </c>
      <c r="L41" s="39">
        <f>IF($A41="","",IF($K41="GREEN","GREEN",IF(COUNTIFS(Exceptions!$B$5:$B$104,$A41,Exceptions!$C$5:$C$104,$B41,Exceptions!$D$5:$D$104,$C41,Exceptions!$G$5:$G$104,"Accepted",Exceptions!$H$5:$H$104,"&lt;&gt;")&gt;0,"CLEARED",$K41)))</f>
        <v/>
      </c>
      <c r="M41" s="39">
        <f>IF($A41="","",IF($H41="","Declaration missing",IF($H41="Not Stated","Not stated in quotation",IF(AND(ISNUMBER($R41),$R41&lt;Baseline!$B$9),"Low AI confidence - verify",IF(AND($H41="Fully Compliant",$J41&lt;&gt;"GREEN"),"Declared Fully - evidence differs","")))))</f>
        <v/>
      </c>
      <c r="N41" s="58">
        <f>IF($A41="","",IFERROR(INDEX(Baseline!$D$20:$D$49,MATCH($C41,Baseline!$A$20:$A$49,0)),""))</f>
        <v/>
      </c>
      <c r="O41" s="58">
        <f>IF($A41="","",IFERROR(INDEX(Baseline!$F$20:$F$49,MATCH($C41,Baseline!$A$20:$A$49,0)),0))</f>
        <v/>
      </c>
      <c r="P41" s="58">
        <f>IF($A41="","",IFERROR(INDEX(Baseline!$G$20:$G$49,MATCH($C41,Baseline!$A$20:$A$49,0)),"RED"))</f>
        <v/>
      </c>
      <c r="Q41" s="58">
        <f>IF($A41="","",$A41&amp;"|"&amp;$B41&amp;"|"&amp;$C41)</f>
        <v/>
      </c>
      <c r="R41" s="59" t="n"/>
      <c r="S41" s="60" t="n"/>
    </row>
    <row r="42" ht="15" customHeight="1" s="34">
      <c r="A42" s="54" t="n"/>
      <c r="B42" s="54" t="n"/>
      <c r="C42" s="54" t="n"/>
      <c r="D42" s="55">
        <f>IF($A42="","",IFERROR(INDEX(Baseline!$B$20:$B$49,MATCH($C42,Baseline!$A$20:$A$49,0)),"Line not in baseline"))</f>
        <v/>
      </c>
      <c r="E42" s="55">
        <f>IF($A42="","",IFERROR(INDEX(Baseline!$C$20:$C$49,MATCH($C42,Baseline!$A$20:$A$49,0)),""))</f>
        <v/>
      </c>
      <c r="F42" s="56">
        <f>IF($A42="","",IFERROR(INDEX(Baseline!$E$20:$E$49,MATCH($C42,Baseline!$A$20:$A$49,0)),""))</f>
        <v/>
      </c>
      <c r="G42" s="57" t="n"/>
      <c r="H42" s="54" t="n"/>
      <c r="I42" s="54" t="n"/>
      <c r="J42" s="39">
        <f>IF($A42="","",IF($E42="Informational","GREEN",IF($G42="",IF($E42="Mandatory","RED","YELLOW"),IF($N42="Exact",IF(UPPER(TRIM($G42&amp;""))=UPPER(TRIM($F42&amp;"")),"GREEN",$P42),IF(NOT(ISNUMBER($G42)),$P42,IF($N42="Min",IF($G42&gt;=$F42,"GREEN",IF($G42&gt;=$F42-$O42,"YELLOW",$P42)),IF($N42="Max",IF($G42&lt;=$F42,"GREEN",IF($G42&lt;=$F42+$O42,"YELLOW",$P42)),IF($N42="Range",IF(ABS($G42-$F42)&lt;=$O42,"GREEN",$P42),"CHECK RULE"))))))))</f>
        <v/>
      </c>
      <c r="K42" s="39">
        <f>IF($A42="","",IF($H42="Non-Compliant","RED",IF(AND(OR($H42="Alternative Offer",$H42="Partially Compliant"),$J42="GREEN"),"YELLOW",IF(AND($J42="GREEN",ISNUMBER($R42),$R42&lt;Baseline!$B$9),"YELLOW",$J42))))</f>
        <v/>
      </c>
      <c r="L42" s="39">
        <f>IF($A42="","",IF($K42="GREEN","GREEN",IF(COUNTIFS(Exceptions!$B$5:$B$104,$A42,Exceptions!$C$5:$C$104,$B42,Exceptions!$D$5:$D$104,$C42,Exceptions!$G$5:$G$104,"Accepted",Exceptions!$H$5:$H$104,"&lt;&gt;")&gt;0,"CLEARED",$K42)))</f>
        <v/>
      </c>
      <c r="M42" s="39">
        <f>IF($A42="","",IF($H42="","Declaration missing",IF($H42="Not Stated","Not stated in quotation",IF(AND(ISNUMBER($R42),$R42&lt;Baseline!$B$9),"Low AI confidence - verify",IF(AND($H42="Fully Compliant",$J42&lt;&gt;"GREEN"),"Declared Fully - evidence differs","")))))</f>
        <v/>
      </c>
      <c r="N42" s="58">
        <f>IF($A42="","",IFERROR(INDEX(Baseline!$D$20:$D$49,MATCH($C42,Baseline!$A$20:$A$49,0)),""))</f>
        <v/>
      </c>
      <c r="O42" s="58">
        <f>IF($A42="","",IFERROR(INDEX(Baseline!$F$20:$F$49,MATCH($C42,Baseline!$A$20:$A$49,0)),0))</f>
        <v/>
      </c>
      <c r="P42" s="58">
        <f>IF($A42="","",IFERROR(INDEX(Baseline!$G$20:$G$49,MATCH($C42,Baseline!$A$20:$A$49,0)),"RED"))</f>
        <v/>
      </c>
      <c r="Q42" s="58">
        <f>IF($A42="","",$A42&amp;"|"&amp;$B42&amp;"|"&amp;$C42)</f>
        <v/>
      </c>
      <c r="R42" s="59" t="n"/>
      <c r="S42" s="60" t="n"/>
    </row>
    <row r="43" ht="15" customHeight="1" s="34">
      <c r="A43" s="54" t="n"/>
      <c r="B43" s="54" t="n"/>
      <c r="C43" s="54" t="n"/>
      <c r="D43" s="55">
        <f>IF($A43="","",IFERROR(INDEX(Baseline!$B$20:$B$49,MATCH($C43,Baseline!$A$20:$A$49,0)),"Line not in baseline"))</f>
        <v/>
      </c>
      <c r="E43" s="55">
        <f>IF($A43="","",IFERROR(INDEX(Baseline!$C$20:$C$49,MATCH($C43,Baseline!$A$20:$A$49,0)),""))</f>
        <v/>
      </c>
      <c r="F43" s="56">
        <f>IF($A43="","",IFERROR(INDEX(Baseline!$E$20:$E$49,MATCH($C43,Baseline!$A$20:$A$49,0)),""))</f>
        <v/>
      </c>
      <c r="G43" s="57" t="n"/>
      <c r="H43" s="54" t="n"/>
      <c r="I43" s="54" t="n"/>
      <c r="J43" s="39">
        <f>IF($A43="","",IF($E43="Informational","GREEN",IF($G43="",IF($E43="Mandatory","RED","YELLOW"),IF($N43="Exact",IF(UPPER(TRIM($G43&amp;""))=UPPER(TRIM($F43&amp;"")),"GREEN",$P43),IF(NOT(ISNUMBER($G43)),$P43,IF($N43="Min",IF($G43&gt;=$F43,"GREEN",IF($G43&gt;=$F43-$O43,"YELLOW",$P43)),IF($N43="Max",IF($G43&lt;=$F43,"GREEN",IF($G43&lt;=$F43+$O43,"YELLOW",$P43)),IF($N43="Range",IF(ABS($G43-$F43)&lt;=$O43,"GREEN",$P43),"CHECK RULE"))))))))</f>
        <v/>
      </c>
      <c r="K43" s="39">
        <f>IF($A43="","",IF($H43="Non-Compliant","RED",IF(AND(OR($H43="Alternative Offer",$H43="Partially Compliant"),$J43="GREEN"),"YELLOW",IF(AND($J43="GREEN",ISNUMBER($R43),$R43&lt;Baseline!$B$9),"YELLOW",$J43))))</f>
        <v/>
      </c>
      <c r="L43" s="39">
        <f>IF($A43="","",IF($K43="GREEN","GREEN",IF(COUNTIFS(Exceptions!$B$5:$B$104,$A43,Exceptions!$C$5:$C$104,$B43,Exceptions!$D$5:$D$104,$C43,Exceptions!$G$5:$G$104,"Accepted",Exceptions!$H$5:$H$104,"&lt;&gt;")&gt;0,"CLEARED",$K43)))</f>
        <v/>
      </c>
      <c r="M43" s="39">
        <f>IF($A43="","",IF($H43="","Declaration missing",IF($H43="Not Stated","Not stated in quotation",IF(AND(ISNUMBER($R43),$R43&lt;Baseline!$B$9),"Low AI confidence - verify",IF(AND($H43="Fully Compliant",$J43&lt;&gt;"GREEN"),"Declared Fully - evidence differs","")))))</f>
        <v/>
      </c>
      <c r="N43" s="58">
        <f>IF($A43="","",IFERROR(INDEX(Baseline!$D$20:$D$49,MATCH($C43,Baseline!$A$20:$A$49,0)),""))</f>
        <v/>
      </c>
      <c r="O43" s="58">
        <f>IF($A43="","",IFERROR(INDEX(Baseline!$F$20:$F$49,MATCH($C43,Baseline!$A$20:$A$49,0)),0))</f>
        <v/>
      </c>
      <c r="P43" s="58">
        <f>IF($A43="","",IFERROR(INDEX(Baseline!$G$20:$G$49,MATCH($C43,Baseline!$A$20:$A$49,0)),"RED"))</f>
        <v/>
      </c>
      <c r="Q43" s="58">
        <f>IF($A43="","",$A43&amp;"|"&amp;$B43&amp;"|"&amp;$C43)</f>
        <v/>
      </c>
      <c r="R43" s="59" t="n"/>
      <c r="S43" s="60" t="n"/>
    </row>
    <row r="44" ht="15" customHeight="1" s="34">
      <c r="A44" s="54" t="n"/>
      <c r="B44" s="54" t="n"/>
      <c r="C44" s="54" t="n"/>
      <c r="D44" s="55">
        <f>IF($A44="","",IFERROR(INDEX(Baseline!$B$20:$B$49,MATCH($C44,Baseline!$A$20:$A$49,0)),"Line not in baseline"))</f>
        <v/>
      </c>
      <c r="E44" s="55">
        <f>IF($A44="","",IFERROR(INDEX(Baseline!$C$20:$C$49,MATCH($C44,Baseline!$A$20:$A$49,0)),""))</f>
        <v/>
      </c>
      <c r="F44" s="56">
        <f>IF($A44="","",IFERROR(INDEX(Baseline!$E$20:$E$49,MATCH($C44,Baseline!$A$20:$A$49,0)),""))</f>
        <v/>
      </c>
      <c r="G44" s="57" t="n"/>
      <c r="H44" s="54" t="n"/>
      <c r="I44" s="54" t="n"/>
      <c r="J44" s="39">
        <f>IF($A44="","",IF($E44="Informational","GREEN",IF($G44="",IF($E44="Mandatory","RED","YELLOW"),IF($N44="Exact",IF(UPPER(TRIM($G44&amp;""))=UPPER(TRIM($F44&amp;"")),"GREEN",$P44),IF(NOT(ISNUMBER($G44)),$P44,IF($N44="Min",IF($G44&gt;=$F44,"GREEN",IF($G44&gt;=$F44-$O44,"YELLOW",$P44)),IF($N44="Max",IF($G44&lt;=$F44,"GREEN",IF($G44&lt;=$F44+$O44,"YELLOW",$P44)),IF($N44="Range",IF(ABS($G44-$F44)&lt;=$O44,"GREEN",$P44),"CHECK RULE"))))))))</f>
        <v/>
      </c>
      <c r="K44" s="39">
        <f>IF($A44="","",IF($H44="Non-Compliant","RED",IF(AND(OR($H44="Alternative Offer",$H44="Partially Compliant"),$J44="GREEN"),"YELLOW",IF(AND($J44="GREEN",ISNUMBER($R44),$R44&lt;Baseline!$B$9),"YELLOW",$J44))))</f>
        <v/>
      </c>
      <c r="L44" s="39">
        <f>IF($A44="","",IF($K44="GREEN","GREEN",IF(COUNTIFS(Exceptions!$B$5:$B$104,$A44,Exceptions!$C$5:$C$104,$B44,Exceptions!$D$5:$D$104,$C44,Exceptions!$G$5:$G$104,"Accepted",Exceptions!$H$5:$H$104,"&lt;&gt;")&gt;0,"CLEARED",$K44)))</f>
        <v/>
      </c>
      <c r="M44" s="39">
        <f>IF($A44="","",IF($H44="","Declaration missing",IF($H44="Not Stated","Not stated in quotation",IF(AND(ISNUMBER($R44),$R44&lt;Baseline!$B$9),"Low AI confidence - verify",IF(AND($H44="Fully Compliant",$J44&lt;&gt;"GREEN"),"Declared Fully - evidence differs","")))))</f>
        <v/>
      </c>
      <c r="N44" s="58">
        <f>IF($A44="","",IFERROR(INDEX(Baseline!$D$20:$D$49,MATCH($C44,Baseline!$A$20:$A$49,0)),""))</f>
        <v/>
      </c>
      <c r="O44" s="58">
        <f>IF($A44="","",IFERROR(INDEX(Baseline!$F$20:$F$49,MATCH($C44,Baseline!$A$20:$A$49,0)),0))</f>
        <v/>
      </c>
      <c r="P44" s="58">
        <f>IF($A44="","",IFERROR(INDEX(Baseline!$G$20:$G$49,MATCH($C44,Baseline!$A$20:$A$49,0)),"RED"))</f>
        <v/>
      </c>
      <c r="Q44" s="58">
        <f>IF($A44="","",$A44&amp;"|"&amp;$B44&amp;"|"&amp;$C44)</f>
        <v/>
      </c>
      <c r="R44" s="59" t="n"/>
      <c r="S44" s="60" t="n"/>
    </row>
    <row r="45" ht="15" customHeight="1" s="34">
      <c r="A45" s="54" t="n"/>
      <c r="B45" s="54" t="n"/>
      <c r="C45" s="54" t="n"/>
      <c r="D45" s="55">
        <f>IF($A45="","",IFERROR(INDEX(Baseline!$B$20:$B$49,MATCH($C45,Baseline!$A$20:$A$49,0)),"Line not in baseline"))</f>
        <v/>
      </c>
      <c r="E45" s="55">
        <f>IF($A45="","",IFERROR(INDEX(Baseline!$C$20:$C$49,MATCH($C45,Baseline!$A$20:$A$49,0)),""))</f>
        <v/>
      </c>
      <c r="F45" s="56">
        <f>IF($A45="","",IFERROR(INDEX(Baseline!$E$20:$E$49,MATCH($C45,Baseline!$A$20:$A$49,0)),""))</f>
        <v/>
      </c>
      <c r="G45" s="57" t="n"/>
      <c r="H45" s="54" t="n"/>
      <c r="I45" s="54" t="n"/>
      <c r="J45" s="39">
        <f>IF($A45="","",IF($E45="Informational","GREEN",IF($G45="",IF($E45="Mandatory","RED","YELLOW"),IF($N45="Exact",IF(UPPER(TRIM($G45&amp;""))=UPPER(TRIM($F45&amp;"")),"GREEN",$P45),IF(NOT(ISNUMBER($G45)),$P45,IF($N45="Min",IF($G45&gt;=$F45,"GREEN",IF($G45&gt;=$F45-$O45,"YELLOW",$P45)),IF($N45="Max",IF($G45&lt;=$F45,"GREEN",IF($G45&lt;=$F45+$O45,"YELLOW",$P45)),IF($N45="Range",IF(ABS($G45-$F45)&lt;=$O45,"GREEN",$P45),"CHECK RULE"))))))))</f>
        <v/>
      </c>
      <c r="K45" s="39">
        <f>IF($A45="","",IF($H45="Non-Compliant","RED",IF(AND(OR($H45="Alternative Offer",$H45="Partially Compliant"),$J45="GREEN"),"YELLOW",IF(AND($J45="GREEN",ISNUMBER($R45),$R45&lt;Baseline!$B$9),"YELLOW",$J45))))</f>
        <v/>
      </c>
      <c r="L45" s="39">
        <f>IF($A45="","",IF($K45="GREEN","GREEN",IF(COUNTIFS(Exceptions!$B$5:$B$104,$A45,Exceptions!$C$5:$C$104,$B45,Exceptions!$D$5:$D$104,$C45,Exceptions!$G$5:$G$104,"Accepted",Exceptions!$H$5:$H$104,"&lt;&gt;")&gt;0,"CLEARED",$K45)))</f>
        <v/>
      </c>
      <c r="M45" s="39">
        <f>IF($A45="","",IF($H45="","Declaration missing",IF($H45="Not Stated","Not stated in quotation",IF(AND(ISNUMBER($R45),$R45&lt;Baseline!$B$9),"Low AI confidence - verify",IF(AND($H45="Fully Compliant",$J45&lt;&gt;"GREEN"),"Declared Fully - evidence differs","")))))</f>
        <v/>
      </c>
      <c r="N45" s="58">
        <f>IF($A45="","",IFERROR(INDEX(Baseline!$D$20:$D$49,MATCH($C45,Baseline!$A$20:$A$49,0)),""))</f>
        <v/>
      </c>
      <c r="O45" s="58">
        <f>IF($A45="","",IFERROR(INDEX(Baseline!$F$20:$F$49,MATCH($C45,Baseline!$A$20:$A$49,0)),0))</f>
        <v/>
      </c>
      <c r="P45" s="58">
        <f>IF($A45="","",IFERROR(INDEX(Baseline!$G$20:$G$49,MATCH($C45,Baseline!$A$20:$A$49,0)),"RED"))</f>
        <v/>
      </c>
      <c r="Q45" s="58">
        <f>IF($A45="","",$A45&amp;"|"&amp;$B45&amp;"|"&amp;$C45)</f>
        <v/>
      </c>
      <c r="R45" s="59" t="n"/>
      <c r="S45" s="60" t="n"/>
    </row>
    <row r="46" ht="15" customHeight="1" s="34">
      <c r="A46" s="54" t="n"/>
      <c r="B46" s="54" t="n"/>
      <c r="C46" s="54" t="n"/>
      <c r="D46" s="55">
        <f>IF($A46="","",IFERROR(INDEX(Baseline!$B$20:$B$49,MATCH($C46,Baseline!$A$20:$A$49,0)),"Line not in baseline"))</f>
        <v/>
      </c>
      <c r="E46" s="55">
        <f>IF($A46="","",IFERROR(INDEX(Baseline!$C$20:$C$49,MATCH($C46,Baseline!$A$20:$A$49,0)),""))</f>
        <v/>
      </c>
      <c r="F46" s="56">
        <f>IF($A46="","",IFERROR(INDEX(Baseline!$E$20:$E$49,MATCH($C46,Baseline!$A$20:$A$49,0)),""))</f>
        <v/>
      </c>
      <c r="G46" s="57" t="n"/>
      <c r="H46" s="54" t="n"/>
      <c r="I46" s="54" t="n"/>
      <c r="J46" s="39">
        <f>IF($A46="","",IF($E46="Informational","GREEN",IF($G46="",IF($E46="Mandatory","RED","YELLOW"),IF($N46="Exact",IF(UPPER(TRIM($G46&amp;""))=UPPER(TRIM($F46&amp;"")),"GREEN",$P46),IF(NOT(ISNUMBER($G46)),$P46,IF($N46="Min",IF($G46&gt;=$F46,"GREEN",IF($G46&gt;=$F46-$O46,"YELLOW",$P46)),IF($N46="Max",IF($G46&lt;=$F46,"GREEN",IF($G46&lt;=$F46+$O46,"YELLOW",$P46)),IF($N46="Range",IF(ABS($G46-$F46)&lt;=$O46,"GREEN",$P46),"CHECK RULE"))))))))</f>
        <v/>
      </c>
      <c r="K46" s="39">
        <f>IF($A46="","",IF($H46="Non-Compliant","RED",IF(AND(OR($H46="Alternative Offer",$H46="Partially Compliant"),$J46="GREEN"),"YELLOW",IF(AND($J46="GREEN",ISNUMBER($R46),$R46&lt;Baseline!$B$9),"YELLOW",$J46))))</f>
        <v/>
      </c>
      <c r="L46" s="39">
        <f>IF($A46="","",IF($K46="GREEN","GREEN",IF(COUNTIFS(Exceptions!$B$5:$B$104,$A46,Exceptions!$C$5:$C$104,$B46,Exceptions!$D$5:$D$104,$C46,Exceptions!$G$5:$G$104,"Accepted",Exceptions!$H$5:$H$104,"&lt;&gt;")&gt;0,"CLEARED",$K46)))</f>
        <v/>
      </c>
      <c r="M46" s="39">
        <f>IF($A46="","",IF($H46="","Declaration missing",IF($H46="Not Stated","Not stated in quotation",IF(AND(ISNUMBER($R46),$R46&lt;Baseline!$B$9),"Low AI confidence - verify",IF(AND($H46="Fully Compliant",$J46&lt;&gt;"GREEN"),"Declared Fully - evidence differs","")))))</f>
        <v/>
      </c>
      <c r="N46" s="58">
        <f>IF($A46="","",IFERROR(INDEX(Baseline!$D$20:$D$49,MATCH($C46,Baseline!$A$20:$A$49,0)),""))</f>
        <v/>
      </c>
      <c r="O46" s="58">
        <f>IF($A46="","",IFERROR(INDEX(Baseline!$F$20:$F$49,MATCH($C46,Baseline!$A$20:$A$49,0)),0))</f>
        <v/>
      </c>
      <c r="P46" s="58">
        <f>IF($A46="","",IFERROR(INDEX(Baseline!$G$20:$G$49,MATCH($C46,Baseline!$A$20:$A$49,0)),"RED"))</f>
        <v/>
      </c>
      <c r="Q46" s="58">
        <f>IF($A46="","",$A46&amp;"|"&amp;$B46&amp;"|"&amp;$C46)</f>
        <v/>
      </c>
      <c r="R46" s="59" t="n"/>
      <c r="S46" s="60" t="n"/>
    </row>
    <row r="47" ht="15" customHeight="1" s="34">
      <c r="A47" s="54" t="n"/>
      <c r="B47" s="54" t="n"/>
      <c r="C47" s="54" t="n"/>
      <c r="D47" s="55">
        <f>IF($A47="","",IFERROR(INDEX(Baseline!$B$20:$B$49,MATCH($C47,Baseline!$A$20:$A$49,0)),"Line not in baseline"))</f>
        <v/>
      </c>
      <c r="E47" s="55">
        <f>IF($A47="","",IFERROR(INDEX(Baseline!$C$20:$C$49,MATCH($C47,Baseline!$A$20:$A$49,0)),""))</f>
        <v/>
      </c>
      <c r="F47" s="56">
        <f>IF($A47="","",IFERROR(INDEX(Baseline!$E$20:$E$49,MATCH($C47,Baseline!$A$20:$A$49,0)),""))</f>
        <v/>
      </c>
      <c r="G47" s="57" t="n"/>
      <c r="H47" s="54" t="n"/>
      <c r="I47" s="54" t="n"/>
      <c r="J47" s="39">
        <f>IF($A47="","",IF($E47="Informational","GREEN",IF($G47="",IF($E47="Mandatory","RED","YELLOW"),IF($N47="Exact",IF(UPPER(TRIM($G47&amp;""))=UPPER(TRIM($F47&amp;"")),"GREEN",$P47),IF(NOT(ISNUMBER($G47)),$P47,IF($N47="Min",IF($G47&gt;=$F47,"GREEN",IF($G47&gt;=$F47-$O47,"YELLOW",$P47)),IF($N47="Max",IF($G47&lt;=$F47,"GREEN",IF($G47&lt;=$F47+$O47,"YELLOW",$P47)),IF($N47="Range",IF(ABS($G47-$F47)&lt;=$O47,"GREEN",$P47),"CHECK RULE"))))))))</f>
        <v/>
      </c>
      <c r="K47" s="39">
        <f>IF($A47="","",IF($H47="Non-Compliant","RED",IF(AND(OR($H47="Alternative Offer",$H47="Partially Compliant"),$J47="GREEN"),"YELLOW",IF(AND($J47="GREEN",ISNUMBER($R47),$R47&lt;Baseline!$B$9),"YELLOW",$J47))))</f>
        <v/>
      </c>
      <c r="L47" s="39">
        <f>IF($A47="","",IF($K47="GREEN","GREEN",IF(COUNTIFS(Exceptions!$B$5:$B$104,$A47,Exceptions!$C$5:$C$104,$B47,Exceptions!$D$5:$D$104,$C47,Exceptions!$G$5:$G$104,"Accepted",Exceptions!$H$5:$H$104,"&lt;&gt;")&gt;0,"CLEARED",$K47)))</f>
        <v/>
      </c>
      <c r="M47" s="39">
        <f>IF($A47="","",IF($H47="","Declaration missing",IF($H47="Not Stated","Not stated in quotation",IF(AND(ISNUMBER($R47),$R47&lt;Baseline!$B$9),"Low AI confidence - verify",IF(AND($H47="Fully Compliant",$J47&lt;&gt;"GREEN"),"Declared Fully - evidence differs","")))))</f>
        <v/>
      </c>
      <c r="N47" s="58">
        <f>IF($A47="","",IFERROR(INDEX(Baseline!$D$20:$D$49,MATCH($C47,Baseline!$A$20:$A$49,0)),""))</f>
        <v/>
      </c>
      <c r="O47" s="58">
        <f>IF($A47="","",IFERROR(INDEX(Baseline!$F$20:$F$49,MATCH($C47,Baseline!$A$20:$A$49,0)),0))</f>
        <v/>
      </c>
      <c r="P47" s="58">
        <f>IF($A47="","",IFERROR(INDEX(Baseline!$G$20:$G$49,MATCH($C47,Baseline!$A$20:$A$49,0)),"RED"))</f>
        <v/>
      </c>
      <c r="Q47" s="58">
        <f>IF($A47="","",$A47&amp;"|"&amp;$B47&amp;"|"&amp;$C47)</f>
        <v/>
      </c>
      <c r="R47" s="59" t="n"/>
      <c r="S47" s="60" t="n"/>
    </row>
    <row r="48" ht="15" customHeight="1" s="34">
      <c r="A48" s="54" t="n"/>
      <c r="B48" s="54" t="n"/>
      <c r="C48" s="54" t="n"/>
      <c r="D48" s="55">
        <f>IF($A48="","",IFERROR(INDEX(Baseline!$B$20:$B$49,MATCH($C48,Baseline!$A$20:$A$49,0)),"Line not in baseline"))</f>
        <v/>
      </c>
      <c r="E48" s="55">
        <f>IF($A48="","",IFERROR(INDEX(Baseline!$C$20:$C$49,MATCH($C48,Baseline!$A$20:$A$49,0)),""))</f>
        <v/>
      </c>
      <c r="F48" s="56">
        <f>IF($A48="","",IFERROR(INDEX(Baseline!$E$20:$E$49,MATCH($C48,Baseline!$A$20:$A$49,0)),""))</f>
        <v/>
      </c>
      <c r="G48" s="57" t="n"/>
      <c r="H48" s="54" t="n"/>
      <c r="I48" s="54" t="n"/>
      <c r="J48" s="39">
        <f>IF($A48="","",IF($E48="Informational","GREEN",IF($G48="",IF($E48="Mandatory","RED","YELLOW"),IF($N48="Exact",IF(UPPER(TRIM($G48&amp;""))=UPPER(TRIM($F48&amp;"")),"GREEN",$P48),IF(NOT(ISNUMBER($G48)),$P48,IF($N48="Min",IF($G48&gt;=$F48,"GREEN",IF($G48&gt;=$F48-$O48,"YELLOW",$P48)),IF($N48="Max",IF($G48&lt;=$F48,"GREEN",IF($G48&lt;=$F48+$O48,"YELLOW",$P48)),IF($N48="Range",IF(ABS($G48-$F48)&lt;=$O48,"GREEN",$P48),"CHECK RULE"))))))))</f>
        <v/>
      </c>
      <c r="K48" s="39">
        <f>IF($A48="","",IF($H48="Non-Compliant","RED",IF(AND(OR($H48="Alternative Offer",$H48="Partially Compliant"),$J48="GREEN"),"YELLOW",IF(AND($J48="GREEN",ISNUMBER($R48),$R48&lt;Baseline!$B$9),"YELLOW",$J48))))</f>
        <v/>
      </c>
      <c r="L48" s="39">
        <f>IF($A48="","",IF($K48="GREEN","GREEN",IF(COUNTIFS(Exceptions!$B$5:$B$104,$A48,Exceptions!$C$5:$C$104,$B48,Exceptions!$D$5:$D$104,$C48,Exceptions!$G$5:$G$104,"Accepted",Exceptions!$H$5:$H$104,"&lt;&gt;")&gt;0,"CLEARED",$K48)))</f>
        <v/>
      </c>
      <c r="M48" s="39">
        <f>IF($A48="","",IF($H48="","Declaration missing",IF($H48="Not Stated","Not stated in quotation",IF(AND(ISNUMBER($R48),$R48&lt;Baseline!$B$9),"Low AI confidence - verify",IF(AND($H48="Fully Compliant",$J48&lt;&gt;"GREEN"),"Declared Fully - evidence differs","")))))</f>
        <v/>
      </c>
      <c r="N48" s="58">
        <f>IF($A48="","",IFERROR(INDEX(Baseline!$D$20:$D$49,MATCH($C48,Baseline!$A$20:$A$49,0)),""))</f>
        <v/>
      </c>
      <c r="O48" s="58">
        <f>IF($A48="","",IFERROR(INDEX(Baseline!$F$20:$F$49,MATCH($C48,Baseline!$A$20:$A$49,0)),0))</f>
        <v/>
      </c>
      <c r="P48" s="58">
        <f>IF($A48="","",IFERROR(INDEX(Baseline!$G$20:$G$49,MATCH($C48,Baseline!$A$20:$A$49,0)),"RED"))</f>
        <v/>
      </c>
      <c r="Q48" s="58">
        <f>IF($A48="","",$A48&amp;"|"&amp;$B48&amp;"|"&amp;$C48)</f>
        <v/>
      </c>
      <c r="R48" s="59" t="n"/>
      <c r="S48" s="60" t="n"/>
    </row>
    <row r="49" ht="15" customHeight="1" s="34">
      <c r="A49" s="54" t="n"/>
      <c r="B49" s="54" t="n"/>
      <c r="C49" s="54" t="n"/>
      <c r="D49" s="55">
        <f>IF($A49="","",IFERROR(INDEX(Baseline!$B$20:$B$49,MATCH($C49,Baseline!$A$20:$A$49,0)),"Line not in baseline"))</f>
        <v/>
      </c>
      <c r="E49" s="55">
        <f>IF($A49="","",IFERROR(INDEX(Baseline!$C$20:$C$49,MATCH($C49,Baseline!$A$20:$A$49,0)),""))</f>
        <v/>
      </c>
      <c r="F49" s="56">
        <f>IF($A49="","",IFERROR(INDEX(Baseline!$E$20:$E$49,MATCH($C49,Baseline!$A$20:$A$49,0)),""))</f>
        <v/>
      </c>
      <c r="G49" s="57" t="n"/>
      <c r="H49" s="54" t="n"/>
      <c r="I49" s="54" t="n"/>
      <c r="J49" s="39">
        <f>IF($A49="","",IF($E49="Informational","GREEN",IF($G49="",IF($E49="Mandatory","RED","YELLOW"),IF($N49="Exact",IF(UPPER(TRIM($G49&amp;""))=UPPER(TRIM($F49&amp;"")),"GREEN",$P49),IF(NOT(ISNUMBER($G49)),$P49,IF($N49="Min",IF($G49&gt;=$F49,"GREEN",IF($G49&gt;=$F49-$O49,"YELLOW",$P49)),IF($N49="Max",IF($G49&lt;=$F49,"GREEN",IF($G49&lt;=$F49+$O49,"YELLOW",$P49)),IF($N49="Range",IF(ABS($G49-$F49)&lt;=$O49,"GREEN",$P49),"CHECK RULE"))))))))</f>
        <v/>
      </c>
      <c r="K49" s="39">
        <f>IF($A49="","",IF($H49="Non-Compliant","RED",IF(AND(OR($H49="Alternative Offer",$H49="Partially Compliant"),$J49="GREEN"),"YELLOW",IF(AND($J49="GREEN",ISNUMBER($R49),$R49&lt;Baseline!$B$9),"YELLOW",$J49))))</f>
        <v/>
      </c>
      <c r="L49" s="39">
        <f>IF($A49="","",IF($K49="GREEN","GREEN",IF(COUNTIFS(Exceptions!$B$5:$B$104,$A49,Exceptions!$C$5:$C$104,$B49,Exceptions!$D$5:$D$104,$C49,Exceptions!$G$5:$G$104,"Accepted",Exceptions!$H$5:$H$104,"&lt;&gt;")&gt;0,"CLEARED",$K49)))</f>
        <v/>
      </c>
      <c r="M49" s="39">
        <f>IF($A49="","",IF($H49="","Declaration missing",IF($H49="Not Stated","Not stated in quotation",IF(AND(ISNUMBER($R49),$R49&lt;Baseline!$B$9),"Low AI confidence - verify",IF(AND($H49="Fully Compliant",$J49&lt;&gt;"GREEN"),"Declared Fully - evidence differs","")))))</f>
        <v/>
      </c>
      <c r="N49" s="58">
        <f>IF($A49="","",IFERROR(INDEX(Baseline!$D$20:$D$49,MATCH($C49,Baseline!$A$20:$A$49,0)),""))</f>
        <v/>
      </c>
      <c r="O49" s="58">
        <f>IF($A49="","",IFERROR(INDEX(Baseline!$F$20:$F$49,MATCH($C49,Baseline!$A$20:$A$49,0)),0))</f>
        <v/>
      </c>
      <c r="P49" s="58">
        <f>IF($A49="","",IFERROR(INDEX(Baseline!$G$20:$G$49,MATCH($C49,Baseline!$A$20:$A$49,0)),"RED"))</f>
        <v/>
      </c>
      <c r="Q49" s="58">
        <f>IF($A49="","",$A49&amp;"|"&amp;$B49&amp;"|"&amp;$C49)</f>
        <v/>
      </c>
      <c r="R49" s="59" t="n"/>
      <c r="S49" s="60" t="n"/>
    </row>
    <row r="50" ht="15" customHeight="1" s="34">
      <c r="A50" s="54" t="n"/>
      <c r="B50" s="54" t="n"/>
      <c r="C50" s="54" t="n"/>
      <c r="D50" s="55">
        <f>IF($A50="","",IFERROR(INDEX(Baseline!$B$20:$B$49,MATCH($C50,Baseline!$A$20:$A$49,0)),"Line not in baseline"))</f>
        <v/>
      </c>
      <c r="E50" s="55">
        <f>IF($A50="","",IFERROR(INDEX(Baseline!$C$20:$C$49,MATCH($C50,Baseline!$A$20:$A$49,0)),""))</f>
        <v/>
      </c>
      <c r="F50" s="56">
        <f>IF($A50="","",IFERROR(INDEX(Baseline!$E$20:$E$49,MATCH($C50,Baseline!$A$20:$A$49,0)),""))</f>
        <v/>
      </c>
      <c r="G50" s="57" t="n"/>
      <c r="H50" s="54" t="n"/>
      <c r="I50" s="54" t="n"/>
      <c r="J50" s="39">
        <f>IF($A50="","",IF($E50="Informational","GREEN",IF($G50="",IF($E50="Mandatory","RED","YELLOW"),IF($N50="Exact",IF(UPPER(TRIM($G50&amp;""))=UPPER(TRIM($F50&amp;"")),"GREEN",$P50),IF(NOT(ISNUMBER($G50)),$P50,IF($N50="Min",IF($G50&gt;=$F50,"GREEN",IF($G50&gt;=$F50-$O50,"YELLOW",$P50)),IF($N50="Max",IF($G50&lt;=$F50,"GREEN",IF($G50&lt;=$F50+$O50,"YELLOW",$P50)),IF($N50="Range",IF(ABS($G50-$F50)&lt;=$O50,"GREEN",$P50),"CHECK RULE"))))))))</f>
        <v/>
      </c>
      <c r="K50" s="39">
        <f>IF($A50="","",IF($H50="Non-Compliant","RED",IF(AND(OR($H50="Alternative Offer",$H50="Partially Compliant"),$J50="GREEN"),"YELLOW",IF(AND($J50="GREEN",ISNUMBER($R50),$R50&lt;Baseline!$B$9),"YELLOW",$J50))))</f>
        <v/>
      </c>
      <c r="L50" s="39">
        <f>IF($A50="","",IF($K50="GREEN","GREEN",IF(COUNTIFS(Exceptions!$B$5:$B$104,$A50,Exceptions!$C$5:$C$104,$B50,Exceptions!$D$5:$D$104,$C50,Exceptions!$G$5:$G$104,"Accepted",Exceptions!$H$5:$H$104,"&lt;&gt;")&gt;0,"CLEARED",$K50)))</f>
        <v/>
      </c>
      <c r="M50" s="39">
        <f>IF($A50="","",IF($H50="","Declaration missing",IF($H50="Not Stated","Not stated in quotation",IF(AND(ISNUMBER($R50),$R50&lt;Baseline!$B$9),"Low AI confidence - verify",IF(AND($H50="Fully Compliant",$J50&lt;&gt;"GREEN"),"Declared Fully - evidence differs","")))))</f>
        <v/>
      </c>
      <c r="N50" s="58">
        <f>IF($A50="","",IFERROR(INDEX(Baseline!$D$20:$D$49,MATCH($C50,Baseline!$A$20:$A$49,0)),""))</f>
        <v/>
      </c>
      <c r="O50" s="58">
        <f>IF($A50="","",IFERROR(INDEX(Baseline!$F$20:$F$49,MATCH($C50,Baseline!$A$20:$A$49,0)),0))</f>
        <v/>
      </c>
      <c r="P50" s="58">
        <f>IF($A50="","",IFERROR(INDEX(Baseline!$G$20:$G$49,MATCH($C50,Baseline!$A$20:$A$49,0)),"RED"))</f>
        <v/>
      </c>
      <c r="Q50" s="58">
        <f>IF($A50="","",$A50&amp;"|"&amp;$B50&amp;"|"&amp;$C50)</f>
        <v/>
      </c>
      <c r="R50" s="59" t="n"/>
      <c r="S50" s="60" t="n"/>
    </row>
    <row r="51" ht="15" customHeight="1" s="34">
      <c r="A51" s="54" t="n"/>
      <c r="B51" s="54" t="n"/>
      <c r="C51" s="54" t="n"/>
      <c r="D51" s="55">
        <f>IF($A51="","",IFERROR(INDEX(Baseline!$B$20:$B$49,MATCH($C51,Baseline!$A$20:$A$49,0)),"Line not in baseline"))</f>
        <v/>
      </c>
      <c r="E51" s="55">
        <f>IF($A51="","",IFERROR(INDEX(Baseline!$C$20:$C$49,MATCH($C51,Baseline!$A$20:$A$49,0)),""))</f>
        <v/>
      </c>
      <c r="F51" s="56">
        <f>IF($A51="","",IFERROR(INDEX(Baseline!$E$20:$E$49,MATCH($C51,Baseline!$A$20:$A$49,0)),""))</f>
        <v/>
      </c>
      <c r="G51" s="57" t="n"/>
      <c r="H51" s="54" t="n"/>
      <c r="I51" s="54" t="n"/>
      <c r="J51" s="39">
        <f>IF($A51="","",IF($E51="Informational","GREEN",IF($G51="",IF($E51="Mandatory","RED","YELLOW"),IF($N51="Exact",IF(UPPER(TRIM($G51&amp;""))=UPPER(TRIM($F51&amp;"")),"GREEN",$P51),IF(NOT(ISNUMBER($G51)),$P51,IF($N51="Min",IF($G51&gt;=$F51,"GREEN",IF($G51&gt;=$F51-$O51,"YELLOW",$P51)),IF($N51="Max",IF($G51&lt;=$F51,"GREEN",IF($G51&lt;=$F51+$O51,"YELLOW",$P51)),IF($N51="Range",IF(ABS($G51-$F51)&lt;=$O51,"GREEN",$P51),"CHECK RULE"))))))))</f>
        <v/>
      </c>
      <c r="K51" s="39">
        <f>IF($A51="","",IF($H51="Non-Compliant","RED",IF(AND(OR($H51="Alternative Offer",$H51="Partially Compliant"),$J51="GREEN"),"YELLOW",IF(AND($J51="GREEN",ISNUMBER($R51),$R51&lt;Baseline!$B$9),"YELLOW",$J51))))</f>
        <v/>
      </c>
      <c r="L51" s="39">
        <f>IF($A51="","",IF($K51="GREEN","GREEN",IF(COUNTIFS(Exceptions!$B$5:$B$104,$A51,Exceptions!$C$5:$C$104,$B51,Exceptions!$D$5:$D$104,$C51,Exceptions!$G$5:$G$104,"Accepted",Exceptions!$H$5:$H$104,"&lt;&gt;")&gt;0,"CLEARED",$K51)))</f>
        <v/>
      </c>
      <c r="M51" s="39">
        <f>IF($A51="","",IF($H51="","Declaration missing",IF($H51="Not Stated","Not stated in quotation",IF(AND(ISNUMBER($R51),$R51&lt;Baseline!$B$9),"Low AI confidence - verify",IF(AND($H51="Fully Compliant",$J51&lt;&gt;"GREEN"),"Declared Fully - evidence differs","")))))</f>
        <v/>
      </c>
      <c r="N51" s="58">
        <f>IF($A51="","",IFERROR(INDEX(Baseline!$D$20:$D$49,MATCH($C51,Baseline!$A$20:$A$49,0)),""))</f>
        <v/>
      </c>
      <c r="O51" s="58">
        <f>IF($A51="","",IFERROR(INDEX(Baseline!$F$20:$F$49,MATCH($C51,Baseline!$A$20:$A$49,0)),0))</f>
        <v/>
      </c>
      <c r="P51" s="58">
        <f>IF($A51="","",IFERROR(INDEX(Baseline!$G$20:$G$49,MATCH($C51,Baseline!$A$20:$A$49,0)),"RED"))</f>
        <v/>
      </c>
      <c r="Q51" s="58">
        <f>IF($A51="","",$A51&amp;"|"&amp;$B51&amp;"|"&amp;$C51)</f>
        <v/>
      </c>
      <c r="R51" s="59" t="n"/>
      <c r="S51" s="60" t="n"/>
    </row>
    <row r="52" ht="15" customHeight="1" s="34">
      <c r="A52" s="54" t="n"/>
      <c r="B52" s="54" t="n"/>
      <c r="C52" s="54" t="n"/>
      <c r="D52" s="55">
        <f>IF($A52="","",IFERROR(INDEX(Baseline!$B$20:$B$49,MATCH($C52,Baseline!$A$20:$A$49,0)),"Line not in baseline"))</f>
        <v/>
      </c>
      <c r="E52" s="55">
        <f>IF($A52="","",IFERROR(INDEX(Baseline!$C$20:$C$49,MATCH($C52,Baseline!$A$20:$A$49,0)),""))</f>
        <v/>
      </c>
      <c r="F52" s="56">
        <f>IF($A52="","",IFERROR(INDEX(Baseline!$E$20:$E$49,MATCH($C52,Baseline!$A$20:$A$49,0)),""))</f>
        <v/>
      </c>
      <c r="G52" s="57" t="n"/>
      <c r="H52" s="54" t="n"/>
      <c r="I52" s="54" t="n"/>
      <c r="J52" s="39">
        <f>IF($A52="","",IF($E52="Informational","GREEN",IF($G52="",IF($E52="Mandatory","RED","YELLOW"),IF($N52="Exact",IF(UPPER(TRIM($G52&amp;""))=UPPER(TRIM($F52&amp;"")),"GREEN",$P52),IF(NOT(ISNUMBER($G52)),$P52,IF($N52="Min",IF($G52&gt;=$F52,"GREEN",IF($G52&gt;=$F52-$O52,"YELLOW",$P52)),IF($N52="Max",IF($G52&lt;=$F52,"GREEN",IF($G52&lt;=$F52+$O52,"YELLOW",$P52)),IF($N52="Range",IF(ABS($G52-$F52)&lt;=$O52,"GREEN",$P52),"CHECK RULE"))))))))</f>
        <v/>
      </c>
      <c r="K52" s="39">
        <f>IF($A52="","",IF($H52="Non-Compliant","RED",IF(AND(OR($H52="Alternative Offer",$H52="Partially Compliant"),$J52="GREEN"),"YELLOW",IF(AND($J52="GREEN",ISNUMBER($R52),$R52&lt;Baseline!$B$9),"YELLOW",$J52))))</f>
        <v/>
      </c>
      <c r="L52" s="39">
        <f>IF($A52="","",IF($K52="GREEN","GREEN",IF(COUNTIFS(Exceptions!$B$5:$B$104,$A52,Exceptions!$C$5:$C$104,$B52,Exceptions!$D$5:$D$104,$C52,Exceptions!$G$5:$G$104,"Accepted",Exceptions!$H$5:$H$104,"&lt;&gt;")&gt;0,"CLEARED",$K52)))</f>
        <v/>
      </c>
      <c r="M52" s="39">
        <f>IF($A52="","",IF($H52="","Declaration missing",IF($H52="Not Stated","Not stated in quotation",IF(AND(ISNUMBER($R52),$R52&lt;Baseline!$B$9),"Low AI confidence - verify",IF(AND($H52="Fully Compliant",$J52&lt;&gt;"GREEN"),"Declared Fully - evidence differs","")))))</f>
        <v/>
      </c>
      <c r="N52" s="58">
        <f>IF($A52="","",IFERROR(INDEX(Baseline!$D$20:$D$49,MATCH($C52,Baseline!$A$20:$A$49,0)),""))</f>
        <v/>
      </c>
      <c r="O52" s="58">
        <f>IF($A52="","",IFERROR(INDEX(Baseline!$F$20:$F$49,MATCH($C52,Baseline!$A$20:$A$49,0)),0))</f>
        <v/>
      </c>
      <c r="P52" s="58">
        <f>IF($A52="","",IFERROR(INDEX(Baseline!$G$20:$G$49,MATCH($C52,Baseline!$A$20:$A$49,0)),"RED"))</f>
        <v/>
      </c>
      <c r="Q52" s="58">
        <f>IF($A52="","",$A52&amp;"|"&amp;$B52&amp;"|"&amp;$C52)</f>
        <v/>
      </c>
      <c r="R52" s="59" t="n"/>
      <c r="S52" s="60" t="n"/>
    </row>
    <row r="53" ht="15" customHeight="1" s="34">
      <c r="A53" s="54" t="n"/>
      <c r="B53" s="54" t="n"/>
      <c r="C53" s="54" t="n"/>
      <c r="D53" s="55">
        <f>IF($A53="","",IFERROR(INDEX(Baseline!$B$20:$B$49,MATCH($C53,Baseline!$A$20:$A$49,0)),"Line not in baseline"))</f>
        <v/>
      </c>
      <c r="E53" s="55">
        <f>IF($A53="","",IFERROR(INDEX(Baseline!$C$20:$C$49,MATCH($C53,Baseline!$A$20:$A$49,0)),""))</f>
        <v/>
      </c>
      <c r="F53" s="56">
        <f>IF($A53="","",IFERROR(INDEX(Baseline!$E$20:$E$49,MATCH($C53,Baseline!$A$20:$A$49,0)),""))</f>
        <v/>
      </c>
      <c r="G53" s="57" t="n"/>
      <c r="H53" s="54" t="n"/>
      <c r="I53" s="54" t="n"/>
      <c r="J53" s="39">
        <f>IF($A53="","",IF($E53="Informational","GREEN",IF($G53="",IF($E53="Mandatory","RED","YELLOW"),IF($N53="Exact",IF(UPPER(TRIM($G53&amp;""))=UPPER(TRIM($F53&amp;"")),"GREEN",$P53),IF(NOT(ISNUMBER($G53)),$P53,IF($N53="Min",IF($G53&gt;=$F53,"GREEN",IF($G53&gt;=$F53-$O53,"YELLOW",$P53)),IF($N53="Max",IF($G53&lt;=$F53,"GREEN",IF($G53&lt;=$F53+$O53,"YELLOW",$P53)),IF($N53="Range",IF(ABS($G53-$F53)&lt;=$O53,"GREEN",$P53),"CHECK RULE"))))))))</f>
        <v/>
      </c>
      <c r="K53" s="39">
        <f>IF($A53="","",IF($H53="Non-Compliant","RED",IF(AND(OR($H53="Alternative Offer",$H53="Partially Compliant"),$J53="GREEN"),"YELLOW",IF(AND($J53="GREEN",ISNUMBER($R53),$R53&lt;Baseline!$B$9),"YELLOW",$J53))))</f>
        <v/>
      </c>
      <c r="L53" s="39">
        <f>IF($A53="","",IF($K53="GREEN","GREEN",IF(COUNTIFS(Exceptions!$B$5:$B$104,$A53,Exceptions!$C$5:$C$104,$B53,Exceptions!$D$5:$D$104,$C53,Exceptions!$G$5:$G$104,"Accepted",Exceptions!$H$5:$H$104,"&lt;&gt;")&gt;0,"CLEARED",$K53)))</f>
        <v/>
      </c>
      <c r="M53" s="39">
        <f>IF($A53="","",IF($H53="","Declaration missing",IF($H53="Not Stated","Not stated in quotation",IF(AND(ISNUMBER($R53),$R53&lt;Baseline!$B$9),"Low AI confidence - verify",IF(AND($H53="Fully Compliant",$J53&lt;&gt;"GREEN"),"Declared Fully - evidence differs","")))))</f>
        <v/>
      </c>
      <c r="N53" s="58">
        <f>IF($A53="","",IFERROR(INDEX(Baseline!$D$20:$D$49,MATCH($C53,Baseline!$A$20:$A$49,0)),""))</f>
        <v/>
      </c>
      <c r="O53" s="58">
        <f>IF($A53="","",IFERROR(INDEX(Baseline!$F$20:$F$49,MATCH($C53,Baseline!$A$20:$A$49,0)),0))</f>
        <v/>
      </c>
      <c r="P53" s="58">
        <f>IF($A53="","",IFERROR(INDEX(Baseline!$G$20:$G$49,MATCH($C53,Baseline!$A$20:$A$49,0)),"RED"))</f>
        <v/>
      </c>
      <c r="Q53" s="58">
        <f>IF($A53="","",$A53&amp;"|"&amp;$B53&amp;"|"&amp;$C53)</f>
        <v/>
      </c>
      <c r="R53" s="59" t="n"/>
      <c r="S53" s="60" t="n"/>
    </row>
    <row r="54" ht="15" customHeight="1" s="34">
      <c r="A54" s="54" t="n"/>
      <c r="B54" s="54" t="n"/>
      <c r="C54" s="54" t="n"/>
      <c r="D54" s="55">
        <f>IF($A54="","",IFERROR(INDEX(Baseline!$B$20:$B$49,MATCH($C54,Baseline!$A$20:$A$49,0)),"Line not in baseline"))</f>
        <v/>
      </c>
      <c r="E54" s="55">
        <f>IF($A54="","",IFERROR(INDEX(Baseline!$C$20:$C$49,MATCH($C54,Baseline!$A$20:$A$49,0)),""))</f>
        <v/>
      </c>
      <c r="F54" s="56">
        <f>IF($A54="","",IFERROR(INDEX(Baseline!$E$20:$E$49,MATCH($C54,Baseline!$A$20:$A$49,0)),""))</f>
        <v/>
      </c>
      <c r="G54" s="57" t="n"/>
      <c r="H54" s="54" t="n"/>
      <c r="I54" s="54" t="n"/>
      <c r="J54" s="39">
        <f>IF($A54="","",IF($E54="Informational","GREEN",IF($G54="",IF($E54="Mandatory","RED","YELLOW"),IF($N54="Exact",IF(UPPER(TRIM($G54&amp;""))=UPPER(TRIM($F54&amp;"")),"GREEN",$P54),IF(NOT(ISNUMBER($G54)),$P54,IF($N54="Min",IF($G54&gt;=$F54,"GREEN",IF($G54&gt;=$F54-$O54,"YELLOW",$P54)),IF($N54="Max",IF($G54&lt;=$F54,"GREEN",IF($G54&lt;=$F54+$O54,"YELLOW",$P54)),IF($N54="Range",IF(ABS($G54-$F54)&lt;=$O54,"GREEN",$P54),"CHECK RULE"))))))))</f>
        <v/>
      </c>
      <c r="K54" s="39">
        <f>IF($A54="","",IF($H54="Non-Compliant","RED",IF(AND(OR($H54="Alternative Offer",$H54="Partially Compliant"),$J54="GREEN"),"YELLOW",IF(AND($J54="GREEN",ISNUMBER($R54),$R54&lt;Baseline!$B$9),"YELLOW",$J54))))</f>
        <v/>
      </c>
      <c r="L54" s="39">
        <f>IF($A54="","",IF($K54="GREEN","GREEN",IF(COUNTIFS(Exceptions!$B$5:$B$104,$A54,Exceptions!$C$5:$C$104,$B54,Exceptions!$D$5:$D$104,$C54,Exceptions!$G$5:$G$104,"Accepted",Exceptions!$H$5:$H$104,"&lt;&gt;")&gt;0,"CLEARED",$K54)))</f>
        <v/>
      </c>
      <c r="M54" s="39">
        <f>IF($A54="","",IF($H54="","Declaration missing",IF($H54="Not Stated","Not stated in quotation",IF(AND(ISNUMBER($R54),$R54&lt;Baseline!$B$9),"Low AI confidence - verify",IF(AND($H54="Fully Compliant",$J54&lt;&gt;"GREEN"),"Declared Fully - evidence differs","")))))</f>
        <v/>
      </c>
      <c r="N54" s="58">
        <f>IF($A54="","",IFERROR(INDEX(Baseline!$D$20:$D$49,MATCH($C54,Baseline!$A$20:$A$49,0)),""))</f>
        <v/>
      </c>
      <c r="O54" s="58">
        <f>IF($A54="","",IFERROR(INDEX(Baseline!$F$20:$F$49,MATCH($C54,Baseline!$A$20:$A$49,0)),0))</f>
        <v/>
      </c>
      <c r="P54" s="58">
        <f>IF($A54="","",IFERROR(INDEX(Baseline!$G$20:$G$49,MATCH($C54,Baseline!$A$20:$A$49,0)),"RED"))</f>
        <v/>
      </c>
      <c r="Q54" s="58">
        <f>IF($A54="","",$A54&amp;"|"&amp;$B54&amp;"|"&amp;$C54)</f>
        <v/>
      </c>
      <c r="R54" s="59" t="n"/>
      <c r="S54" s="60" t="n"/>
    </row>
    <row r="55" ht="15" customHeight="1" s="34">
      <c r="A55" s="54" t="n"/>
      <c r="B55" s="54" t="n"/>
      <c r="C55" s="54" t="n"/>
      <c r="D55" s="55">
        <f>IF($A55="","",IFERROR(INDEX(Baseline!$B$20:$B$49,MATCH($C55,Baseline!$A$20:$A$49,0)),"Line not in baseline"))</f>
        <v/>
      </c>
      <c r="E55" s="55">
        <f>IF($A55="","",IFERROR(INDEX(Baseline!$C$20:$C$49,MATCH($C55,Baseline!$A$20:$A$49,0)),""))</f>
        <v/>
      </c>
      <c r="F55" s="56">
        <f>IF($A55="","",IFERROR(INDEX(Baseline!$E$20:$E$49,MATCH($C55,Baseline!$A$20:$A$49,0)),""))</f>
        <v/>
      </c>
      <c r="G55" s="57" t="n"/>
      <c r="H55" s="54" t="n"/>
      <c r="I55" s="54" t="n"/>
      <c r="J55" s="39">
        <f>IF($A55="","",IF($E55="Informational","GREEN",IF($G55="",IF($E55="Mandatory","RED","YELLOW"),IF($N55="Exact",IF(UPPER(TRIM($G55&amp;""))=UPPER(TRIM($F55&amp;"")),"GREEN",$P55),IF(NOT(ISNUMBER($G55)),$P55,IF($N55="Min",IF($G55&gt;=$F55,"GREEN",IF($G55&gt;=$F55-$O55,"YELLOW",$P55)),IF($N55="Max",IF($G55&lt;=$F55,"GREEN",IF($G55&lt;=$F55+$O55,"YELLOW",$P55)),IF($N55="Range",IF(ABS($G55-$F55)&lt;=$O55,"GREEN",$P55),"CHECK RULE"))))))))</f>
        <v/>
      </c>
      <c r="K55" s="39">
        <f>IF($A55="","",IF($H55="Non-Compliant","RED",IF(AND(OR($H55="Alternative Offer",$H55="Partially Compliant"),$J55="GREEN"),"YELLOW",IF(AND($J55="GREEN",ISNUMBER($R55),$R55&lt;Baseline!$B$9),"YELLOW",$J55))))</f>
        <v/>
      </c>
      <c r="L55" s="39">
        <f>IF($A55="","",IF($K55="GREEN","GREEN",IF(COUNTIFS(Exceptions!$B$5:$B$104,$A55,Exceptions!$C$5:$C$104,$B55,Exceptions!$D$5:$D$104,$C55,Exceptions!$G$5:$G$104,"Accepted",Exceptions!$H$5:$H$104,"&lt;&gt;")&gt;0,"CLEARED",$K55)))</f>
        <v/>
      </c>
      <c r="M55" s="39">
        <f>IF($A55="","",IF($H55="","Declaration missing",IF($H55="Not Stated","Not stated in quotation",IF(AND(ISNUMBER($R55),$R55&lt;Baseline!$B$9),"Low AI confidence - verify",IF(AND($H55="Fully Compliant",$J55&lt;&gt;"GREEN"),"Declared Fully - evidence differs","")))))</f>
        <v/>
      </c>
      <c r="N55" s="58">
        <f>IF($A55="","",IFERROR(INDEX(Baseline!$D$20:$D$49,MATCH($C55,Baseline!$A$20:$A$49,0)),""))</f>
        <v/>
      </c>
      <c r="O55" s="58">
        <f>IF($A55="","",IFERROR(INDEX(Baseline!$F$20:$F$49,MATCH($C55,Baseline!$A$20:$A$49,0)),0))</f>
        <v/>
      </c>
      <c r="P55" s="58">
        <f>IF($A55="","",IFERROR(INDEX(Baseline!$G$20:$G$49,MATCH($C55,Baseline!$A$20:$A$49,0)),"RED"))</f>
        <v/>
      </c>
      <c r="Q55" s="58">
        <f>IF($A55="","",$A55&amp;"|"&amp;$B55&amp;"|"&amp;$C55)</f>
        <v/>
      </c>
      <c r="R55" s="59" t="n"/>
      <c r="S55" s="60" t="n"/>
    </row>
    <row r="56" ht="15" customHeight="1" s="34">
      <c r="A56" s="54" t="n"/>
      <c r="B56" s="54" t="n"/>
      <c r="C56" s="54" t="n"/>
      <c r="D56" s="55">
        <f>IF($A56="","",IFERROR(INDEX(Baseline!$B$20:$B$49,MATCH($C56,Baseline!$A$20:$A$49,0)),"Line not in baseline"))</f>
        <v/>
      </c>
      <c r="E56" s="55">
        <f>IF($A56="","",IFERROR(INDEX(Baseline!$C$20:$C$49,MATCH($C56,Baseline!$A$20:$A$49,0)),""))</f>
        <v/>
      </c>
      <c r="F56" s="56">
        <f>IF($A56="","",IFERROR(INDEX(Baseline!$E$20:$E$49,MATCH($C56,Baseline!$A$20:$A$49,0)),""))</f>
        <v/>
      </c>
      <c r="G56" s="57" t="n"/>
      <c r="H56" s="54" t="n"/>
      <c r="I56" s="54" t="n"/>
      <c r="J56" s="39">
        <f>IF($A56="","",IF($E56="Informational","GREEN",IF($G56="",IF($E56="Mandatory","RED","YELLOW"),IF($N56="Exact",IF(UPPER(TRIM($G56&amp;""))=UPPER(TRIM($F56&amp;"")),"GREEN",$P56),IF(NOT(ISNUMBER($G56)),$P56,IF($N56="Min",IF($G56&gt;=$F56,"GREEN",IF($G56&gt;=$F56-$O56,"YELLOW",$P56)),IF($N56="Max",IF($G56&lt;=$F56,"GREEN",IF($G56&lt;=$F56+$O56,"YELLOW",$P56)),IF($N56="Range",IF(ABS($G56-$F56)&lt;=$O56,"GREEN",$P56),"CHECK RULE"))))))))</f>
        <v/>
      </c>
      <c r="K56" s="39">
        <f>IF($A56="","",IF($H56="Non-Compliant","RED",IF(AND(OR($H56="Alternative Offer",$H56="Partially Compliant"),$J56="GREEN"),"YELLOW",IF(AND($J56="GREEN",ISNUMBER($R56),$R56&lt;Baseline!$B$9),"YELLOW",$J56))))</f>
        <v/>
      </c>
      <c r="L56" s="39">
        <f>IF($A56="","",IF($K56="GREEN","GREEN",IF(COUNTIFS(Exceptions!$B$5:$B$104,$A56,Exceptions!$C$5:$C$104,$B56,Exceptions!$D$5:$D$104,$C56,Exceptions!$G$5:$G$104,"Accepted",Exceptions!$H$5:$H$104,"&lt;&gt;")&gt;0,"CLEARED",$K56)))</f>
        <v/>
      </c>
      <c r="M56" s="39">
        <f>IF($A56="","",IF($H56="","Declaration missing",IF($H56="Not Stated","Not stated in quotation",IF(AND(ISNUMBER($R56),$R56&lt;Baseline!$B$9),"Low AI confidence - verify",IF(AND($H56="Fully Compliant",$J56&lt;&gt;"GREEN"),"Declared Fully - evidence differs","")))))</f>
        <v/>
      </c>
      <c r="N56" s="58">
        <f>IF($A56="","",IFERROR(INDEX(Baseline!$D$20:$D$49,MATCH($C56,Baseline!$A$20:$A$49,0)),""))</f>
        <v/>
      </c>
      <c r="O56" s="58">
        <f>IF($A56="","",IFERROR(INDEX(Baseline!$F$20:$F$49,MATCH($C56,Baseline!$A$20:$A$49,0)),0))</f>
        <v/>
      </c>
      <c r="P56" s="58">
        <f>IF($A56="","",IFERROR(INDEX(Baseline!$G$20:$G$49,MATCH($C56,Baseline!$A$20:$A$49,0)),"RED"))</f>
        <v/>
      </c>
      <c r="Q56" s="58">
        <f>IF($A56="","",$A56&amp;"|"&amp;$B56&amp;"|"&amp;$C56)</f>
        <v/>
      </c>
      <c r="R56" s="59" t="n"/>
      <c r="S56" s="60" t="n"/>
    </row>
    <row r="57" ht="15" customHeight="1" s="34">
      <c r="A57" s="54" t="n"/>
      <c r="B57" s="54" t="n"/>
      <c r="C57" s="54" t="n"/>
      <c r="D57" s="55">
        <f>IF($A57="","",IFERROR(INDEX(Baseline!$B$20:$B$49,MATCH($C57,Baseline!$A$20:$A$49,0)),"Line not in baseline"))</f>
        <v/>
      </c>
      <c r="E57" s="55">
        <f>IF($A57="","",IFERROR(INDEX(Baseline!$C$20:$C$49,MATCH($C57,Baseline!$A$20:$A$49,0)),""))</f>
        <v/>
      </c>
      <c r="F57" s="56">
        <f>IF($A57="","",IFERROR(INDEX(Baseline!$E$20:$E$49,MATCH($C57,Baseline!$A$20:$A$49,0)),""))</f>
        <v/>
      </c>
      <c r="G57" s="57" t="n"/>
      <c r="H57" s="54" t="n"/>
      <c r="I57" s="54" t="n"/>
      <c r="J57" s="39">
        <f>IF($A57="","",IF($E57="Informational","GREEN",IF($G57="",IF($E57="Mandatory","RED","YELLOW"),IF($N57="Exact",IF(UPPER(TRIM($G57&amp;""))=UPPER(TRIM($F57&amp;"")),"GREEN",$P57),IF(NOT(ISNUMBER($G57)),$P57,IF($N57="Min",IF($G57&gt;=$F57,"GREEN",IF($G57&gt;=$F57-$O57,"YELLOW",$P57)),IF($N57="Max",IF($G57&lt;=$F57,"GREEN",IF($G57&lt;=$F57+$O57,"YELLOW",$P57)),IF($N57="Range",IF(ABS($G57-$F57)&lt;=$O57,"GREEN",$P57),"CHECK RULE"))))))))</f>
        <v/>
      </c>
      <c r="K57" s="39">
        <f>IF($A57="","",IF($H57="Non-Compliant","RED",IF(AND(OR($H57="Alternative Offer",$H57="Partially Compliant"),$J57="GREEN"),"YELLOW",IF(AND($J57="GREEN",ISNUMBER($R57),$R57&lt;Baseline!$B$9),"YELLOW",$J57))))</f>
        <v/>
      </c>
      <c r="L57" s="39">
        <f>IF($A57="","",IF($K57="GREEN","GREEN",IF(COUNTIFS(Exceptions!$B$5:$B$104,$A57,Exceptions!$C$5:$C$104,$B57,Exceptions!$D$5:$D$104,$C57,Exceptions!$G$5:$G$104,"Accepted",Exceptions!$H$5:$H$104,"&lt;&gt;")&gt;0,"CLEARED",$K57)))</f>
        <v/>
      </c>
      <c r="M57" s="39">
        <f>IF($A57="","",IF($H57="","Declaration missing",IF($H57="Not Stated","Not stated in quotation",IF(AND(ISNUMBER($R57),$R57&lt;Baseline!$B$9),"Low AI confidence - verify",IF(AND($H57="Fully Compliant",$J57&lt;&gt;"GREEN"),"Declared Fully - evidence differs","")))))</f>
        <v/>
      </c>
      <c r="N57" s="58">
        <f>IF($A57="","",IFERROR(INDEX(Baseline!$D$20:$D$49,MATCH($C57,Baseline!$A$20:$A$49,0)),""))</f>
        <v/>
      </c>
      <c r="O57" s="58">
        <f>IF($A57="","",IFERROR(INDEX(Baseline!$F$20:$F$49,MATCH($C57,Baseline!$A$20:$A$49,0)),0))</f>
        <v/>
      </c>
      <c r="P57" s="58">
        <f>IF($A57="","",IFERROR(INDEX(Baseline!$G$20:$G$49,MATCH($C57,Baseline!$A$20:$A$49,0)),"RED"))</f>
        <v/>
      </c>
      <c r="Q57" s="58">
        <f>IF($A57="","",$A57&amp;"|"&amp;$B57&amp;"|"&amp;$C57)</f>
        <v/>
      </c>
      <c r="R57" s="59" t="n"/>
      <c r="S57" s="60" t="n"/>
    </row>
    <row r="58" ht="15" customHeight="1" s="34">
      <c r="A58" s="54" t="n"/>
      <c r="B58" s="54" t="n"/>
      <c r="C58" s="54" t="n"/>
      <c r="D58" s="55">
        <f>IF($A58="","",IFERROR(INDEX(Baseline!$B$20:$B$49,MATCH($C58,Baseline!$A$20:$A$49,0)),"Line not in baseline"))</f>
        <v/>
      </c>
      <c r="E58" s="55">
        <f>IF($A58="","",IFERROR(INDEX(Baseline!$C$20:$C$49,MATCH($C58,Baseline!$A$20:$A$49,0)),""))</f>
        <v/>
      </c>
      <c r="F58" s="56">
        <f>IF($A58="","",IFERROR(INDEX(Baseline!$E$20:$E$49,MATCH($C58,Baseline!$A$20:$A$49,0)),""))</f>
        <v/>
      </c>
      <c r="G58" s="57" t="n"/>
      <c r="H58" s="54" t="n"/>
      <c r="I58" s="54" t="n"/>
      <c r="J58" s="39">
        <f>IF($A58="","",IF($E58="Informational","GREEN",IF($G58="",IF($E58="Mandatory","RED","YELLOW"),IF($N58="Exact",IF(UPPER(TRIM($G58&amp;""))=UPPER(TRIM($F58&amp;"")),"GREEN",$P58),IF(NOT(ISNUMBER($G58)),$P58,IF($N58="Min",IF($G58&gt;=$F58,"GREEN",IF($G58&gt;=$F58-$O58,"YELLOW",$P58)),IF($N58="Max",IF($G58&lt;=$F58,"GREEN",IF($G58&lt;=$F58+$O58,"YELLOW",$P58)),IF($N58="Range",IF(ABS($G58-$F58)&lt;=$O58,"GREEN",$P58),"CHECK RULE"))))))))</f>
        <v/>
      </c>
      <c r="K58" s="39">
        <f>IF($A58="","",IF($H58="Non-Compliant","RED",IF(AND(OR($H58="Alternative Offer",$H58="Partially Compliant"),$J58="GREEN"),"YELLOW",IF(AND($J58="GREEN",ISNUMBER($R58),$R58&lt;Baseline!$B$9),"YELLOW",$J58))))</f>
        <v/>
      </c>
      <c r="L58" s="39">
        <f>IF($A58="","",IF($K58="GREEN","GREEN",IF(COUNTIFS(Exceptions!$B$5:$B$104,$A58,Exceptions!$C$5:$C$104,$B58,Exceptions!$D$5:$D$104,$C58,Exceptions!$G$5:$G$104,"Accepted",Exceptions!$H$5:$H$104,"&lt;&gt;")&gt;0,"CLEARED",$K58)))</f>
        <v/>
      </c>
      <c r="M58" s="39">
        <f>IF($A58="","",IF($H58="","Declaration missing",IF($H58="Not Stated","Not stated in quotation",IF(AND(ISNUMBER($R58),$R58&lt;Baseline!$B$9),"Low AI confidence - verify",IF(AND($H58="Fully Compliant",$J58&lt;&gt;"GREEN"),"Declared Fully - evidence differs","")))))</f>
        <v/>
      </c>
      <c r="N58" s="58">
        <f>IF($A58="","",IFERROR(INDEX(Baseline!$D$20:$D$49,MATCH($C58,Baseline!$A$20:$A$49,0)),""))</f>
        <v/>
      </c>
      <c r="O58" s="58">
        <f>IF($A58="","",IFERROR(INDEX(Baseline!$F$20:$F$49,MATCH($C58,Baseline!$A$20:$A$49,0)),0))</f>
        <v/>
      </c>
      <c r="P58" s="58">
        <f>IF($A58="","",IFERROR(INDEX(Baseline!$G$20:$G$49,MATCH($C58,Baseline!$A$20:$A$49,0)),"RED"))</f>
        <v/>
      </c>
      <c r="Q58" s="58">
        <f>IF($A58="","",$A58&amp;"|"&amp;$B58&amp;"|"&amp;$C58)</f>
        <v/>
      </c>
      <c r="R58" s="59" t="n"/>
      <c r="S58" s="60" t="n"/>
    </row>
    <row r="59" ht="15" customHeight="1" s="34">
      <c r="A59" s="54" t="n"/>
      <c r="B59" s="54" t="n"/>
      <c r="C59" s="54" t="n"/>
      <c r="D59" s="55">
        <f>IF($A59="","",IFERROR(INDEX(Baseline!$B$20:$B$49,MATCH($C59,Baseline!$A$20:$A$49,0)),"Line not in baseline"))</f>
        <v/>
      </c>
      <c r="E59" s="55">
        <f>IF($A59="","",IFERROR(INDEX(Baseline!$C$20:$C$49,MATCH($C59,Baseline!$A$20:$A$49,0)),""))</f>
        <v/>
      </c>
      <c r="F59" s="56">
        <f>IF($A59="","",IFERROR(INDEX(Baseline!$E$20:$E$49,MATCH($C59,Baseline!$A$20:$A$49,0)),""))</f>
        <v/>
      </c>
      <c r="G59" s="57" t="n"/>
      <c r="H59" s="54" t="n"/>
      <c r="I59" s="54" t="n"/>
      <c r="J59" s="39">
        <f>IF($A59="","",IF($E59="Informational","GREEN",IF($G59="",IF($E59="Mandatory","RED","YELLOW"),IF($N59="Exact",IF(UPPER(TRIM($G59&amp;""))=UPPER(TRIM($F59&amp;"")),"GREEN",$P59),IF(NOT(ISNUMBER($G59)),$P59,IF($N59="Min",IF($G59&gt;=$F59,"GREEN",IF($G59&gt;=$F59-$O59,"YELLOW",$P59)),IF($N59="Max",IF($G59&lt;=$F59,"GREEN",IF($G59&lt;=$F59+$O59,"YELLOW",$P59)),IF($N59="Range",IF(ABS($G59-$F59)&lt;=$O59,"GREEN",$P59),"CHECK RULE"))))))))</f>
        <v/>
      </c>
      <c r="K59" s="39">
        <f>IF($A59="","",IF($H59="Non-Compliant","RED",IF(AND(OR($H59="Alternative Offer",$H59="Partially Compliant"),$J59="GREEN"),"YELLOW",IF(AND($J59="GREEN",ISNUMBER($R59),$R59&lt;Baseline!$B$9),"YELLOW",$J59))))</f>
        <v/>
      </c>
      <c r="L59" s="39">
        <f>IF($A59="","",IF($K59="GREEN","GREEN",IF(COUNTIFS(Exceptions!$B$5:$B$104,$A59,Exceptions!$C$5:$C$104,$B59,Exceptions!$D$5:$D$104,$C59,Exceptions!$G$5:$G$104,"Accepted",Exceptions!$H$5:$H$104,"&lt;&gt;")&gt;0,"CLEARED",$K59)))</f>
        <v/>
      </c>
      <c r="M59" s="39">
        <f>IF($A59="","",IF($H59="","Declaration missing",IF($H59="Not Stated","Not stated in quotation",IF(AND(ISNUMBER($R59),$R59&lt;Baseline!$B$9),"Low AI confidence - verify",IF(AND($H59="Fully Compliant",$J59&lt;&gt;"GREEN"),"Declared Fully - evidence differs","")))))</f>
        <v/>
      </c>
      <c r="N59" s="58">
        <f>IF($A59="","",IFERROR(INDEX(Baseline!$D$20:$D$49,MATCH($C59,Baseline!$A$20:$A$49,0)),""))</f>
        <v/>
      </c>
      <c r="O59" s="58">
        <f>IF($A59="","",IFERROR(INDEX(Baseline!$F$20:$F$49,MATCH($C59,Baseline!$A$20:$A$49,0)),0))</f>
        <v/>
      </c>
      <c r="P59" s="58">
        <f>IF($A59="","",IFERROR(INDEX(Baseline!$G$20:$G$49,MATCH($C59,Baseline!$A$20:$A$49,0)),"RED"))</f>
        <v/>
      </c>
      <c r="Q59" s="58">
        <f>IF($A59="","",$A59&amp;"|"&amp;$B59&amp;"|"&amp;$C59)</f>
        <v/>
      </c>
      <c r="R59" s="59" t="n"/>
      <c r="S59" s="60" t="n"/>
    </row>
    <row r="60" ht="15" customHeight="1" s="34">
      <c r="A60" s="54" t="n"/>
      <c r="B60" s="54" t="n"/>
      <c r="C60" s="54" t="n"/>
      <c r="D60" s="55">
        <f>IF($A60="","",IFERROR(INDEX(Baseline!$B$20:$B$49,MATCH($C60,Baseline!$A$20:$A$49,0)),"Line not in baseline"))</f>
        <v/>
      </c>
      <c r="E60" s="55">
        <f>IF($A60="","",IFERROR(INDEX(Baseline!$C$20:$C$49,MATCH($C60,Baseline!$A$20:$A$49,0)),""))</f>
        <v/>
      </c>
      <c r="F60" s="56">
        <f>IF($A60="","",IFERROR(INDEX(Baseline!$E$20:$E$49,MATCH($C60,Baseline!$A$20:$A$49,0)),""))</f>
        <v/>
      </c>
      <c r="G60" s="57" t="n"/>
      <c r="H60" s="54" t="n"/>
      <c r="I60" s="54" t="n"/>
      <c r="J60" s="39">
        <f>IF($A60="","",IF($E60="Informational","GREEN",IF($G60="",IF($E60="Mandatory","RED","YELLOW"),IF($N60="Exact",IF(UPPER(TRIM($G60&amp;""))=UPPER(TRIM($F60&amp;"")),"GREEN",$P60),IF(NOT(ISNUMBER($G60)),$P60,IF($N60="Min",IF($G60&gt;=$F60,"GREEN",IF($G60&gt;=$F60-$O60,"YELLOW",$P60)),IF($N60="Max",IF($G60&lt;=$F60,"GREEN",IF($G60&lt;=$F60+$O60,"YELLOW",$P60)),IF($N60="Range",IF(ABS($G60-$F60)&lt;=$O60,"GREEN",$P60),"CHECK RULE"))))))))</f>
        <v/>
      </c>
      <c r="K60" s="39">
        <f>IF($A60="","",IF($H60="Non-Compliant","RED",IF(AND(OR($H60="Alternative Offer",$H60="Partially Compliant"),$J60="GREEN"),"YELLOW",IF(AND($J60="GREEN",ISNUMBER($R60),$R60&lt;Baseline!$B$9),"YELLOW",$J60))))</f>
        <v/>
      </c>
      <c r="L60" s="39">
        <f>IF($A60="","",IF($K60="GREEN","GREEN",IF(COUNTIFS(Exceptions!$B$5:$B$104,$A60,Exceptions!$C$5:$C$104,$B60,Exceptions!$D$5:$D$104,$C60,Exceptions!$G$5:$G$104,"Accepted",Exceptions!$H$5:$H$104,"&lt;&gt;")&gt;0,"CLEARED",$K60)))</f>
        <v/>
      </c>
      <c r="M60" s="39">
        <f>IF($A60="","",IF($H60="","Declaration missing",IF($H60="Not Stated","Not stated in quotation",IF(AND(ISNUMBER($R60),$R60&lt;Baseline!$B$9),"Low AI confidence - verify",IF(AND($H60="Fully Compliant",$J60&lt;&gt;"GREEN"),"Declared Fully - evidence differs","")))))</f>
        <v/>
      </c>
      <c r="N60" s="58">
        <f>IF($A60="","",IFERROR(INDEX(Baseline!$D$20:$D$49,MATCH($C60,Baseline!$A$20:$A$49,0)),""))</f>
        <v/>
      </c>
      <c r="O60" s="58">
        <f>IF($A60="","",IFERROR(INDEX(Baseline!$F$20:$F$49,MATCH($C60,Baseline!$A$20:$A$49,0)),0))</f>
        <v/>
      </c>
      <c r="P60" s="58">
        <f>IF($A60="","",IFERROR(INDEX(Baseline!$G$20:$G$49,MATCH($C60,Baseline!$A$20:$A$49,0)),"RED"))</f>
        <v/>
      </c>
      <c r="Q60" s="58">
        <f>IF($A60="","",$A60&amp;"|"&amp;$B60&amp;"|"&amp;$C60)</f>
        <v/>
      </c>
      <c r="R60" s="59" t="n"/>
      <c r="S60" s="60" t="n"/>
    </row>
    <row r="61" ht="15" customHeight="1" s="34">
      <c r="A61" s="54" t="n"/>
      <c r="B61" s="54" t="n"/>
      <c r="C61" s="54" t="n"/>
      <c r="D61" s="55">
        <f>IF($A61="","",IFERROR(INDEX(Baseline!$B$20:$B$49,MATCH($C61,Baseline!$A$20:$A$49,0)),"Line not in baseline"))</f>
        <v/>
      </c>
      <c r="E61" s="55">
        <f>IF($A61="","",IFERROR(INDEX(Baseline!$C$20:$C$49,MATCH($C61,Baseline!$A$20:$A$49,0)),""))</f>
        <v/>
      </c>
      <c r="F61" s="56">
        <f>IF($A61="","",IFERROR(INDEX(Baseline!$E$20:$E$49,MATCH($C61,Baseline!$A$20:$A$49,0)),""))</f>
        <v/>
      </c>
      <c r="G61" s="57" t="n"/>
      <c r="H61" s="54" t="n"/>
      <c r="I61" s="54" t="n"/>
      <c r="J61" s="39">
        <f>IF($A61="","",IF($E61="Informational","GREEN",IF($G61="",IF($E61="Mandatory","RED","YELLOW"),IF($N61="Exact",IF(UPPER(TRIM($G61&amp;""))=UPPER(TRIM($F61&amp;"")),"GREEN",$P61),IF(NOT(ISNUMBER($G61)),$P61,IF($N61="Min",IF($G61&gt;=$F61,"GREEN",IF($G61&gt;=$F61-$O61,"YELLOW",$P61)),IF($N61="Max",IF($G61&lt;=$F61,"GREEN",IF($G61&lt;=$F61+$O61,"YELLOW",$P61)),IF($N61="Range",IF(ABS($G61-$F61)&lt;=$O61,"GREEN",$P61),"CHECK RULE"))))))))</f>
        <v/>
      </c>
      <c r="K61" s="39">
        <f>IF($A61="","",IF($H61="Non-Compliant","RED",IF(AND(OR($H61="Alternative Offer",$H61="Partially Compliant"),$J61="GREEN"),"YELLOW",IF(AND($J61="GREEN",ISNUMBER($R61),$R61&lt;Baseline!$B$9),"YELLOW",$J61))))</f>
        <v/>
      </c>
      <c r="L61" s="39">
        <f>IF($A61="","",IF($K61="GREEN","GREEN",IF(COUNTIFS(Exceptions!$B$5:$B$104,$A61,Exceptions!$C$5:$C$104,$B61,Exceptions!$D$5:$D$104,$C61,Exceptions!$G$5:$G$104,"Accepted",Exceptions!$H$5:$H$104,"&lt;&gt;")&gt;0,"CLEARED",$K61)))</f>
        <v/>
      </c>
      <c r="M61" s="39">
        <f>IF($A61="","",IF($H61="","Declaration missing",IF($H61="Not Stated","Not stated in quotation",IF(AND(ISNUMBER($R61),$R61&lt;Baseline!$B$9),"Low AI confidence - verify",IF(AND($H61="Fully Compliant",$J61&lt;&gt;"GREEN"),"Declared Fully - evidence differs","")))))</f>
        <v/>
      </c>
      <c r="N61" s="58">
        <f>IF($A61="","",IFERROR(INDEX(Baseline!$D$20:$D$49,MATCH($C61,Baseline!$A$20:$A$49,0)),""))</f>
        <v/>
      </c>
      <c r="O61" s="58">
        <f>IF($A61="","",IFERROR(INDEX(Baseline!$F$20:$F$49,MATCH($C61,Baseline!$A$20:$A$49,0)),0))</f>
        <v/>
      </c>
      <c r="P61" s="58">
        <f>IF($A61="","",IFERROR(INDEX(Baseline!$G$20:$G$49,MATCH($C61,Baseline!$A$20:$A$49,0)),"RED"))</f>
        <v/>
      </c>
      <c r="Q61" s="58">
        <f>IF($A61="","",$A61&amp;"|"&amp;$B61&amp;"|"&amp;$C61)</f>
        <v/>
      </c>
      <c r="R61" s="59" t="n"/>
      <c r="S61" s="60" t="n"/>
    </row>
    <row r="62" ht="15" customHeight="1" s="34">
      <c r="A62" s="54" t="n"/>
      <c r="B62" s="54" t="n"/>
      <c r="C62" s="54" t="n"/>
      <c r="D62" s="55">
        <f>IF($A62="","",IFERROR(INDEX(Baseline!$B$20:$B$49,MATCH($C62,Baseline!$A$20:$A$49,0)),"Line not in baseline"))</f>
        <v/>
      </c>
      <c r="E62" s="55">
        <f>IF($A62="","",IFERROR(INDEX(Baseline!$C$20:$C$49,MATCH($C62,Baseline!$A$20:$A$49,0)),""))</f>
        <v/>
      </c>
      <c r="F62" s="56">
        <f>IF($A62="","",IFERROR(INDEX(Baseline!$E$20:$E$49,MATCH($C62,Baseline!$A$20:$A$49,0)),""))</f>
        <v/>
      </c>
      <c r="G62" s="57" t="n"/>
      <c r="H62" s="54" t="n"/>
      <c r="I62" s="54" t="n"/>
      <c r="J62" s="39">
        <f>IF($A62="","",IF($E62="Informational","GREEN",IF($G62="",IF($E62="Mandatory","RED","YELLOW"),IF($N62="Exact",IF(UPPER(TRIM($G62&amp;""))=UPPER(TRIM($F62&amp;"")),"GREEN",$P62),IF(NOT(ISNUMBER($G62)),$P62,IF($N62="Min",IF($G62&gt;=$F62,"GREEN",IF($G62&gt;=$F62-$O62,"YELLOW",$P62)),IF($N62="Max",IF($G62&lt;=$F62,"GREEN",IF($G62&lt;=$F62+$O62,"YELLOW",$P62)),IF($N62="Range",IF(ABS($G62-$F62)&lt;=$O62,"GREEN",$P62),"CHECK RULE"))))))))</f>
        <v/>
      </c>
      <c r="K62" s="39">
        <f>IF($A62="","",IF($H62="Non-Compliant","RED",IF(AND(OR($H62="Alternative Offer",$H62="Partially Compliant"),$J62="GREEN"),"YELLOW",IF(AND($J62="GREEN",ISNUMBER($R62),$R62&lt;Baseline!$B$9),"YELLOW",$J62))))</f>
        <v/>
      </c>
      <c r="L62" s="39">
        <f>IF($A62="","",IF($K62="GREEN","GREEN",IF(COUNTIFS(Exceptions!$B$5:$B$104,$A62,Exceptions!$C$5:$C$104,$B62,Exceptions!$D$5:$D$104,$C62,Exceptions!$G$5:$G$104,"Accepted",Exceptions!$H$5:$H$104,"&lt;&gt;")&gt;0,"CLEARED",$K62)))</f>
        <v/>
      </c>
      <c r="M62" s="39">
        <f>IF($A62="","",IF($H62="","Declaration missing",IF($H62="Not Stated","Not stated in quotation",IF(AND(ISNUMBER($R62),$R62&lt;Baseline!$B$9),"Low AI confidence - verify",IF(AND($H62="Fully Compliant",$J62&lt;&gt;"GREEN"),"Declared Fully - evidence differs","")))))</f>
        <v/>
      </c>
      <c r="N62" s="58">
        <f>IF($A62="","",IFERROR(INDEX(Baseline!$D$20:$D$49,MATCH($C62,Baseline!$A$20:$A$49,0)),""))</f>
        <v/>
      </c>
      <c r="O62" s="58">
        <f>IF($A62="","",IFERROR(INDEX(Baseline!$F$20:$F$49,MATCH($C62,Baseline!$A$20:$A$49,0)),0))</f>
        <v/>
      </c>
      <c r="P62" s="58">
        <f>IF($A62="","",IFERROR(INDEX(Baseline!$G$20:$G$49,MATCH($C62,Baseline!$A$20:$A$49,0)),"RED"))</f>
        <v/>
      </c>
      <c r="Q62" s="58">
        <f>IF($A62="","",$A62&amp;"|"&amp;$B62&amp;"|"&amp;$C62)</f>
        <v/>
      </c>
      <c r="R62" s="59" t="n"/>
      <c r="S62" s="60" t="n"/>
    </row>
    <row r="63" ht="15" customHeight="1" s="34">
      <c r="A63" s="54" t="n"/>
      <c r="B63" s="54" t="n"/>
      <c r="C63" s="54" t="n"/>
      <c r="D63" s="55">
        <f>IF($A63="","",IFERROR(INDEX(Baseline!$B$20:$B$49,MATCH($C63,Baseline!$A$20:$A$49,0)),"Line not in baseline"))</f>
        <v/>
      </c>
      <c r="E63" s="55">
        <f>IF($A63="","",IFERROR(INDEX(Baseline!$C$20:$C$49,MATCH($C63,Baseline!$A$20:$A$49,0)),""))</f>
        <v/>
      </c>
      <c r="F63" s="56">
        <f>IF($A63="","",IFERROR(INDEX(Baseline!$E$20:$E$49,MATCH($C63,Baseline!$A$20:$A$49,0)),""))</f>
        <v/>
      </c>
      <c r="G63" s="57" t="n"/>
      <c r="H63" s="54" t="n"/>
      <c r="I63" s="54" t="n"/>
      <c r="J63" s="39">
        <f>IF($A63="","",IF($E63="Informational","GREEN",IF($G63="",IF($E63="Mandatory","RED","YELLOW"),IF($N63="Exact",IF(UPPER(TRIM($G63&amp;""))=UPPER(TRIM($F63&amp;"")),"GREEN",$P63),IF(NOT(ISNUMBER($G63)),$P63,IF($N63="Min",IF($G63&gt;=$F63,"GREEN",IF($G63&gt;=$F63-$O63,"YELLOW",$P63)),IF($N63="Max",IF($G63&lt;=$F63,"GREEN",IF($G63&lt;=$F63+$O63,"YELLOW",$P63)),IF($N63="Range",IF(ABS($G63-$F63)&lt;=$O63,"GREEN",$P63),"CHECK RULE"))))))))</f>
        <v/>
      </c>
      <c r="K63" s="39">
        <f>IF($A63="","",IF($H63="Non-Compliant","RED",IF(AND(OR($H63="Alternative Offer",$H63="Partially Compliant"),$J63="GREEN"),"YELLOW",IF(AND($J63="GREEN",ISNUMBER($R63),$R63&lt;Baseline!$B$9),"YELLOW",$J63))))</f>
        <v/>
      </c>
      <c r="L63" s="39">
        <f>IF($A63="","",IF($K63="GREEN","GREEN",IF(COUNTIFS(Exceptions!$B$5:$B$104,$A63,Exceptions!$C$5:$C$104,$B63,Exceptions!$D$5:$D$104,$C63,Exceptions!$G$5:$G$104,"Accepted",Exceptions!$H$5:$H$104,"&lt;&gt;")&gt;0,"CLEARED",$K63)))</f>
        <v/>
      </c>
      <c r="M63" s="39">
        <f>IF($A63="","",IF($H63="","Declaration missing",IF($H63="Not Stated","Not stated in quotation",IF(AND(ISNUMBER($R63),$R63&lt;Baseline!$B$9),"Low AI confidence - verify",IF(AND($H63="Fully Compliant",$J63&lt;&gt;"GREEN"),"Declared Fully - evidence differs","")))))</f>
        <v/>
      </c>
      <c r="N63" s="58">
        <f>IF($A63="","",IFERROR(INDEX(Baseline!$D$20:$D$49,MATCH($C63,Baseline!$A$20:$A$49,0)),""))</f>
        <v/>
      </c>
      <c r="O63" s="58">
        <f>IF($A63="","",IFERROR(INDEX(Baseline!$F$20:$F$49,MATCH($C63,Baseline!$A$20:$A$49,0)),0))</f>
        <v/>
      </c>
      <c r="P63" s="58">
        <f>IF($A63="","",IFERROR(INDEX(Baseline!$G$20:$G$49,MATCH($C63,Baseline!$A$20:$A$49,0)),"RED"))</f>
        <v/>
      </c>
      <c r="Q63" s="58">
        <f>IF($A63="","",$A63&amp;"|"&amp;$B63&amp;"|"&amp;$C63)</f>
        <v/>
      </c>
      <c r="R63" s="59" t="n"/>
      <c r="S63" s="60" t="n"/>
    </row>
    <row r="64" ht="15" customHeight="1" s="34">
      <c r="A64" s="54" t="n"/>
      <c r="B64" s="54" t="n"/>
      <c r="C64" s="54" t="n"/>
      <c r="D64" s="55">
        <f>IF($A64="","",IFERROR(INDEX(Baseline!$B$20:$B$49,MATCH($C64,Baseline!$A$20:$A$49,0)),"Line not in baseline"))</f>
        <v/>
      </c>
      <c r="E64" s="55">
        <f>IF($A64="","",IFERROR(INDEX(Baseline!$C$20:$C$49,MATCH($C64,Baseline!$A$20:$A$49,0)),""))</f>
        <v/>
      </c>
      <c r="F64" s="56">
        <f>IF($A64="","",IFERROR(INDEX(Baseline!$E$20:$E$49,MATCH($C64,Baseline!$A$20:$A$49,0)),""))</f>
        <v/>
      </c>
      <c r="G64" s="57" t="n"/>
      <c r="H64" s="54" t="n"/>
      <c r="I64" s="54" t="n"/>
      <c r="J64" s="39">
        <f>IF($A64="","",IF($E64="Informational","GREEN",IF($G64="",IF($E64="Mandatory","RED","YELLOW"),IF($N64="Exact",IF(UPPER(TRIM($G64&amp;""))=UPPER(TRIM($F64&amp;"")),"GREEN",$P64),IF(NOT(ISNUMBER($G64)),$P64,IF($N64="Min",IF($G64&gt;=$F64,"GREEN",IF($G64&gt;=$F64-$O64,"YELLOW",$P64)),IF($N64="Max",IF($G64&lt;=$F64,"GREEN",IF($G64&lt;=$F64+$O64,"YELLOW",$P64)),IF($N64="Range",IF(ABS($G64-$F64)&lt;=$O64,"GREEN",$P64),"CHECK RULE"))))))))</f>
        <v/>
      </c>
      <c r="K64" s="39">
        <f>IF($A64="","",IF($H64="Non-Compliant","RED",IF(AND(OR($H64="Alternative Offer",$H64="Partially Compliant"),$J64="GREEN"),"YELLOW",IF(AND($J64="GREEN",ISNUMBER($R64),$R64&lt;Baseline!$B$9),"YELLOW",$J64))))</f>
        <v/>
      </c>
      <c r="L64" s="39">
        <f>IF($A64="","",IF($K64="GREEN","GREEN",IF(COUNTIFS(Exceptions!$B$5:$B$104,$A64,Exceptions!$C$5:$C$104,$B64,Exceptions!$D$5:$D$104,$C64,Exceptions!$G$5:$G$104,"Accepted",Exceptions!$H$5:$H$104,"&lt;&gt;")&gt;0,"CLEARED",$K64)))</f>
        <v/>
      </c>
      <c r="M64" s="39">
        <f>IF($A64="","",IF($H64="","Declaration missing",IF($H64="Not Stated","Not stated in quotation",IF(AND(ISNUMBER($R64),$R64&lt;Baseline!$B$9),"Low AI confidence - verify",IF(AND($H64="Fully Compliant",$J64&lt;&gt;"GREEN"),"Declared Fully - evidence differs","")))))</f>
        <v/>
      </c>
      <c r="N64" s="58">
        <f>IF($A64="","",IFERROR(INDEX(Baseline!$D$20:$D$49,MATCH($C64,Baseline!$A$20:$A$49,0)),""))</f>
        <v/>
      </c>
      <c r="O64" s="58">
        <f>IF($A64="","",IFERROR(INDEX(Baseline!$F$20:$F$49,MATCH($C64,Baseline!$A$20:$A$49,0)),0))</f>
        <v/>
      </c>
      <c r="P64" s="58">
        <f>IF($A64="","",IFERROR(INDEX(Baseline!$G$20:$G$49,MATCH($C64,Baseline!$A$20:$A$49,0)),"RED"))</f>
        <v/>
      </c>
      <c r="Q64" s="58">
        <f>IF($A64="","",$A64&amp;"|"&amp;$B64&amp;"|"&amp;$C64)</f>
        <v/>
      </c>
      <c r="R64" s="59" t="n"/>
      <c r="S64" s="60" t="n"/>
    </row>
    <row r="65" ht="15" customHeight="1" s="34">
      <c r="A65" s="54" t="n"/>
      <c r="B65" s="54" t="n"/>
      <c r="C65" s="54" t="n"/>
      <c r="D65" s="55">
        <f>IF($A65="","",IFERROR(INDEX(Baseline!$B$20:$B$49,MATCH($C65,Baseline!$A$20:$A$49,0)),"Line not in baseline"))</f>
        <v/>
      </c>
      <c r="E65" s="55">
        <f>IF($A65="","",IFERROR(INDEX(Baseline!$C$20:$C$49,MATCH($C65,Baseline!$A$20:$A$49,0)),""))</f>
        <v/>
      </c>
      <c r="F65" s="56">
        <f>IF($A65="","",IFERROR(INDEX(Baseline!$E$20:$E$49,MATCH($C65,Baseline!$A$20:$A$49,0)),""))</f>
        <v/>
      </c>
      <c r="G65" s="57" t="n"/>
      <c r="H65" s="54" t="n"/>
      <c r="I65" s="54" t="n"/>
      <c r="J65" s="39">
        <f>IF($A65="","",IF($E65="Informational","GREEN",IF($G65="",IF($E65="Mandatory","RED","YELLOW"),IF($N65="Exact",IF(UPPER(TRIM($G65&amp;""))=UPPER(TRIM($F65&amp;"")),"GREEN",$P65),IF(NOT(ISNUMBER($G65)),$P65,IF($N65="Min",IF($G65&gt;=$F65,"GREEN",IF($G65&gt;=$F65-$O65,"YELLOW",$P65)),IF($N65="Max",IF($G65&lt;=$F65,"GREEN",IF($G65&lt;=$F65+$O65,"YELLOW",$P65)),IF($N65="Range",IF(ABS($G65-$F65)&lt;=$O65,"GREEN",$P65),"CHECK RULE"))))))))</f>
        <v/>
      </c>
      <c r="K65" s="39">
        <f>IF($A65="","",IF($H65="Non-Compliant","RED",IF(AND(OR($H65="Alternative Offer",$H65="Partially Compliant"),$J65="GREEN"),"YELLOW",IF(AND($J65="GREEN",ISNUMBER($R65),$R65&lt;Baseline!$B$9),"YELLOW",$J65))))</f>
        <v/>
      </c>
      <c r="L65" s="39">
        <f>IF($A65="","",IF($K65="GREEN","GREEN",IF(COUNTIFS(Exceptions!$B$5:$B$104,$A65,Exceptions!$C$5:$C$104,$B65,Exceptions!$D$5:$D$104,$C65,Exceptions!$G$5:$G$104,"Accepted",Exceptions!$H$5:$H$104,"&lt;&gt;")&gt;0,"CLEARED",$K65)))</f>
        <v/>
      </c>
      <c r="M65" s="39">
        <f>IF($A65="","",IF($H65="","Declaration missing",IF($H65="Not Stated","Not stated in quotation",IF(AND(ISNUMBER($R65),$R65&lt;Baseline!$B$9),"Low AI confidence - verify",IF(AND($H65="Fully Compliant",$J65&lt;&gt;"GREEN"),"Declared Fully - evidence differs","")))))</f>
        <v/>
      </c>
      <c r="N65" s="58">
        <f>IF($A65="","",IFERROR(INDEX(Baseline!$D$20:$D$49,MATCH($C65,Baseline!$A$20:$A$49,0)),""))</f>
        <v/>
      </c>
      <c r="O65" s="58">
        <f>IF($A65="","",IFERROR(INDEX(Baseline!$F$20:$F$49,MATCH($C65,Baseline!$A$20:$A$49,0)),0))</f>
        <v/>
      </c>
      <c r="P65" s="58">
        <f>IF($A65="","",IFERROR(INDEX(Baseline!$G$20:$G$49,MATCH($C65,Baseline!$A$20:$A$49,0)),"RED"))</f>
        <v/>
      </c>
      <c r="Q65" s="58">
        <f>IF($A65="","",$A65&amp;"|"&amp;$B65&amp;"|"&amp;$C65)</f>
        <v/>
      </c>
      <c r="R65" s="59" t="n"/>
      <c r="S65" s="60" t="n"/>
    </row>
    <row r="66" ht="15" customHeight="1" s="34">
      <c r="A66" s="54" t="n"/>
      <c r="B66" s="54" t="n"/>
      <c r="C66" s="54" t="n"/>
      <c r="D66" s="55">
        <f>IF($A66="","",IFERROR(INDEX(Baseline!$B$20:$B$49,MATCH($C66,Baseline!$A$20:$A$49,0)),"Line not in baseline"))</f>
        <v/>
      </c>
      <c r="E66" s="55">
        <f>IF($A66="","",IFERROR(INDEX(Baseline!$C$20:$C$49,MATCH($C66,Baseline!$A$20:$A$49,0)),""))</f>
        <v/>
      </c>
      <c r="F66" s="56">
        <f>IF($A66="","",IFERROR(INDEX(Baseline!$E$20:$E$49,MATCH($C66,Baseline!$A$20:$A$49,0)),""))</f>
        <v/>
      </c>
      <c r="G66" s="57" t="n"/>
      <c r="H66" s="54" t="n"/>
      <c r="I66" s="54" t="n"/>
      <c r="J66" s="39">
        <f>IF($A66="","",IF($E66="Informational","GREEN",IF($G66="",IF($E66="Mandatory","RED","YELLOW"),IF($N66="Exact",IF(UPPER(TRIM($G66&amp;""))=UPPER(TRIM($F66&amp;"")),"GREEN",$P66),IF(NOT(ISNUMBER($G66)),$P66,IF($N66="Min",IF($G66&gt;=$F66,"GREEN",IF($G66&gt;=$F66-$O66,"YELLOW",$P66)),IF($N66="Max",IF($G66&lt;=$F66,"GREEN",IF($G66&lt;=$F66+$O66,"YELLOW",$P66)),IF($N66="Range",IF(ABS($G66-$F66)&lt;=$O66,"GREEN",$P66),"CHECK RULE"))))))))</f>
        <v/>
      </c>
      <c r="K66" s="39">
        <f>IF($A66="","",IF($H66="Non-Compliant","RED",IF(AND(OR($H66="Alternative Offer",$H66="Partially Compliant"),$J66="GREEN"),"YELLOW",IF(AND($J66="GREEN",ISNUMBER($R66),$R66&lt;Baseline!$B$9),"YELLOW",$J66))))</f>
        <v/>
      </c>
      <c r="L66" s="39">
        <f>IF($A66="","",IF($K66="GREEN","GREEN",IF(COUNTIFS(Exceptions!$B$5:$B$104,$A66,Exceptions!$C$5:$C$104,$B66,Exceptions!$D$5:$D$104,$C66,Exceptions!$G$5:$G$104,"Accepted",Exceptions!$H$5:$H$104,"&lt;&gt;")&gt;0,"CLEARED",$K66)))</f>
        <v/>
      </c>
      <c r="M66" s="39">
        <f>IF($A66="","",IF($H66="","Declaration missing",IF($H66="Not Stated","Not stated in quotation",IF(AND(ISNUMBER($R66),$R66&lt;Baseline!$B$9),"Low AI confidence - verify",IF(AND($H66="Fully Compliant",$J66&lt;&gt;"GREEN"),"Declared Fully - evidence differs","")))))</f>
        <v/>
      </c>
      <c r="N66" s="58">
        <f>IF($A66="","",IFERROR(INDEX(Baseline!$D$20:$D$49,MATCH($C66,Baseline!$A$20:$A$49,0)),""))</f>
        <v/>
      </c>
      <c r="O66" s="58">
        <f>IF($A66="","",IFERROR(INDEX(Baseline!$F$20:$F$49,MATCH($C66,Baseline!$A$20:$A$49,0)),0))</f>
        <v/>
      </c>
      <c r="P66" s="58">
        <f>IF($A66="","",IFERROR(INDEX(Baseline!$G$20:$G$49,MATCH($C66,Baseline!$A$20:$A$49,0)),"RED"))</f>
        <v/>
      </c>
      <c r="Q66" s="58">
        <f>IF($A66="","",$A66&amp;"|"&amp;$B66&amp;"|"&amp;$C66)</f>
        <v/>
      </c>
      <c r="R66" s="59" t="n"/>
      <c r="S66" s="60" t="n"/>
    </row>
    <row r="67" ht="15" customHeight="1" s="34">
      <c r="A67" s="54" t="n"/>
      <c r="B67" s="54" t="n"/>
      <c r="C67" s="54" t="n"/>
      <c r="D67" s="55">
        <f>IF($A67="","",IFERROR(INDEX(Baseline!$B$20:$B$49,MATCH($C67,Baseline!$A$20:$A$49,0)),"Line not in baseline"))</f>
        <v/>
      </c>
      <c r="E67" s="55">
        <f>IF($A67="","",IFERROR(INDEX(Baseline!$C$20:$C$49,MATCH($C67,Baseline!$A$20:$A$49,0)),""))</f>
        <v/>
      </c>
      <c r="F67" s="56">
        <f>IF($A67="","",IFERROR(INDEX(Baseline!$E$20:$E$49,MATCH($C67,Baseline!$A$20:$A$49,0)),""))</f>
        <v/>
      </c>
      <c r="G67" s="57" t="n"/>
      <c r="H67" s="54" t="n"/>
      <c r="I67" s="54" t="n"/>
      <c r="J67" s="39">
        <f>IF($A67="","",IF($E67="Informational","GREEN",IF($G67="",IF($E67="Mandatory","RED","YELLOW"),IF($N67="Exact",IF(UPPER(TRIM($G67&amp;""))=UPPER(TRIM($F67&amp;"")),"GREEN",$P67),IF(NOT(ISNUMBER($G67)),$P67,IF($N67="Min",IF($G67&gt;=$F67,"GREEN",IF($G67&gt;=$F67-$O67,"YELLOW",$P67)),IF($N67="Max",IF($G67&lt;=$F67,"GREEN",IF($G67&lt;=$F67+$O67,"YELLOW",$P67)),IF($N67="Range",IF(ABS($G67-$F67)&lt;=$O67,"GREEN",$P67),"CHECK RULE"))))))))</f>
        <v/>
      </c>
      <c r="K67" s="39">
        <f>IF($A67="","",IF($H67="Non-Compliant","RED",IF(AND(OR($H67="Alternative Offer",$H67="Partially Compliant"),$J67="GREEN"),"YELLOW",IF(AND($J67="GREEN",ISNUMBER($R67),$R67&lt;Baseline!$B$9),"YELLOW",$J67))))</f>
        <v/>
      </c>
      <c r="L67" s="39">
        <f>IF($A67="","",IF($K67="GREEN","GREEN",IF(COUNTIFS(Exceptions!$B$5:$B$104,$A67,Exceptions!$C$5:$C$104,$B67,Exceptions!$D$5:$D$104,$C67,Exceptions!$G$5:$G$104,"Accepted",Exceptions!$H$5:$H$104,"&lt;&gt;")&gt;0,"CLEARED",$K67)))</f>
        <v/>
      </c>
      <c r="M67" s="39">
        <f>IF($A67="","",IF($H67="","Declaration missing",IF($H67="Not Stated","Not stated in quotation",IF(AND(ISNUMBER($R67),$R67&lt;Baseline!$B$9),"Low AI confidence - verify",IF(AND($H67="Fully Compliant",$J67&lt;&gt;"GREEN"),"Declared Fully - evidence differs","")))))</f>
        <v/>
      </c>
      <c r="N67" s="58">
        <f>IF($A67="","",IFERROR(INDEX(Baseline!$D$20:$D$49,MATCH($C67,Baseline!$A$20:$A$49,0)),""))</f>
        <v/>
      </c>
      <c r="O67" s="58">
        <f>IF($A67="","",IFERROR(INDEX(Baseline!$F$20:$F$49,MATCH($C67,Baseline!$A$20:$A$49,0)),0))</f>
        <v/>
      </c>
      <c r="P67" s="58">
        <f>IF($A67="","",IFERROR(INDEX(Baseline!$G$20:$G$49,MATCH($C67,Baseline!$A$20:$A$49,0)),"RED"))</f>
        <v/>
      </c>
      <c r="Q67" s="58">
        <f>IF($A67="","",$A67&amp;"|"&amp;$B67&amp;"|"&amp;$C67)</f>
        <v/>
      </c>
      <c r="R67" s="59" t="n"/>
      <c r="S67" s="60" t="n"/>
    </row>
    <row r="68" ht="15" customHeight="1" s="34">
      <c r="A68" s="54" t="n"/>
      <c r="B68" s="54" t="n"/>
      <c r="C68" s="54" t="n"/>
      <c r="D68" s="55">
        <f>IF($A68="","",IFERROR(INDEX(Baseline!$B$20:$B$49,MATCH($C68,Baseline!$A$20:$A$49,0)),"Line not in baseline"))</f>
        <v/>
      </c>
      <c r="E68" s="55">
        <f>IF($A68="","",IFERROR(INDEX(Baseline!$C$20:$C$49,MATCH($C68,Baseline!$A$20:$A$49,0)),""))</f>
        <v/>
      </c>
      <c r="F68" s="56">
        <f>IF($A68="","",IFERROR(INDEX(Baseline!$E$20:$E$49,MATCH($C68,Baseline!$A$20:$A$49,0)),""))</f>
        <v/>
      </c>
      <c r="G68" s="57" t="n"/>
      <c r="H68" s="54" t="n"/>
      <c r="I68" s="54" t="n"/>
      <c r="J68" s="39">
        <f>IF($A68="","",IF($E68="Informational","GREEN",IF($G68="",IF($E68="Mandatory","RED","YELLOW"),IF($N68="Exact",IF(UPPER(TRIM($G68&amp;""))=UPPER(TRIM($F68&amp;"")),"GREEN",$P68),IF(NOT(ISNUMBER($G68)),$P68,IF($N68="Min",IF($G68&gt;=$F68,"GREEN",IF($G68&gt;=$F68-$O68,"YELLOW",$P68)),IF($N68="Max",IF($G68&lt;=$F68,"GREEN",IF($G68&lt;=$F68+$O68,"YELLOW",$P68)),IF($N68="Range",IF(ABS($G68-$F68)&lt;=$O68,"GREEN",$P68),"CHECK RULE"))))))))</f>
        <v/>
      </c>
      <c r="K68" s="39">
        <f>IF($A68="","",IF($H68="Non-Compliant","RED",IF(AND(OR($H68="Alternative Offer",$H68="Partially Compliant"),$J68="GREEN"),"YELLOW",IF(AND($J68="GREEN",ISNUMBER($R68),$R68&lt;Baseline!$B$9),"YELLOW",$J68))))</f>
        <v/>
      </c>
      <c r="L68" s="39">
        <f>IF($A68="","",IF($K68="GREEN","GREEN",IF(COUNTIFS(Exceptions!$B$5:$B$104,$A68,Exceptions!$C$5:$C$104,$B68,Exceptions!$D$5:$D$104,$C68,Exceptions!$G$5:$G$104,"Accepted",Exceptions!$H$5:$H$104,"&lt;&gt;")&gt;0,"CLEARED",$K68)))</f>
        <v/>
      </c>
      <c r="M68" s="39">
        <f>IF($A68="","",IF($H68="","Declaration missing",IF($H68="Not Stated","Not stated in quotation",IF(AND(ISNUMBER($R68),$R68&lt;Baseline!$B$9),"Low AI confidence - verify",IF(AND($H68="Fully Compliant",$J68&lt;&gt;"GREEN"),"Declared Fully - evidence differs","")))))</f>
        <v/>
      </c>
      <c r="N68" s="58">
        <f>IF($A68="","",IFERROR(INDEX(Baseline!$D$20:$D$49,MATCH($C68,Baseline!$A$20:$A$49,0)),""))</f>
        <v/>
      </c>
      <c r="O68" s="58">
        <f>IF($A68="","",IFERROR(INDEX(Baseline!$F$20:$F$49,MATCH($C68,Baseline!$A$20:$A$49,0)),0))</f>
        <v/>
      </c>
      <c r="P68" s="58">
        <f>IF($A68="","",IFERROR(INDEX(Baseline!$G$20:$G$49,MATCH($C68,Baseline!$A$20:$A$49,0)),"RED"))</f>
        <v/>
      </c>
      <c r="Q68" s="58">
        <f>IF($A68="","",$A68&amp;"|"&amp;$B68&amp;"|"&amp;$C68)</f>
        <v/>
      </c>
      <c r="R68" s="59" t="n"/>
      <c r="S68" s="60" t="n"/>
    </row>
    <row r="69" ht="15" customHeight="1" s="34">
      <c r="A69" s="54" t="n"/>
      <c r="B69" s="54" t="n"/>
      <c r="C69" s="54" t="n"/>
      <c r="D69" s="55">
        <f>IF($A69="","",IFERROR(INDEX(Baseline!$B$20:$B$49,MATCH($C69,Baseline!$A$20:$A$49,0)),"Line not in baseline"))</f>
        <v/>
      </c>
      <c r="E69" s="55">
        <f>IF($A69="","",IFERROR(INDEX(Baseline!$C$20:$C$49,MATCH($C69,Baseline!$A$20:$A$49,0)),""))</f>
        <v/>
      </c>
      <c r="F69" s="56">
        <f>IF($A69="","",IFERROR(INDEX(Baseline!$E$20:$E$49,MATCH($C69,Baseline!$A$20:$A$49,0)),""))</f>
        <v/>
      </c>
      <c r="G69" s="57" t="n"/>
      <c r="H69" s="54" t="n"/>
      <c r="I69" s="54" t="n"/>
      <c r="J69" s="39">
        <f>IF($A69="","",IF($E69="Informational","GREEN",IF($G69="",IF($E69="Mandatory","RED","YELLOW"),IF($N69="Exact",IF(UPPER(TRIM($G69&amp;""))=UPPER(TRIM($F69&amp;"")),"GREEN",$P69),IF(NOT(ISNUMBER($G69)),$P69,IF($N69="Min",IF($G69&gt;=$F69,"GREEN",IF($G69&gt;=$F69-$O69,"YELLOW",$P69)),IF($N69="Max",IF($G69&lt;=$F69,"GREEN",IF($G69&lt;=$F69+$O69,"YELLOW",$P69)),IF($N69="Range",IF(ABS($G69-$F69)&lt;=$O69,"GREEN",$P69),"CHECK RULE"))))))))</f>
        <v/>
      </c>
      <c r="K69" s="39">
        <f>IF($A69="","",IF($H69="Non-Compliant","RED",IF(AND(OR($H69="Alternative Offer",$H69="Partially Compliant"),$J69="GREEN"),"YELLOW",IF(AND($J69="GREEN",ISNUMBER($R69),$R69&lt;Baseline!$B$9),"YELLOW",$J69))))</f>
        <v/>
      </c>
      <c r="L69" s="39">
        <f>IF($A69="","",IF($K69="GREEN","GREEN",IF(COUNTIFS(Exceptions!$B$5:$B$104,$A69,Exceptions!$C$5:$C$104,$B69,Exceptions!$D$5:$D$104,$C69,Exceptions!$G$5:$G$104,"Accepted",Exceptions!$H$5:$H$104,"&lt;&gt;")&gt;0,"CLEARED",$K69)))</f>
        <v/>
      </c>
      <c r="M69" s="39">
        <f>IF($A69="","",IF($H69="","Declaration missing",IF($H69="Not Stated","Not stated in quotation",IF(AND(ISNUMBER($R69),$R69&lt;Baseline!$B$9),"Low AI confidence - verify",IF(AND($H69="Fully Compliant",$J69&lt;&gt;"GREEN"),"Declared Fully - evidence differs","")))))</f>
        <v/>
      </c>
      <c r="N69" s="58">
        <f>IF($A69="","",IFERROR(INDEX(Baseline!$D$20:$D$49,MATCH($C69,Baseline!$A$20:$A$49,0)),""))</f>
        <v/>
      </c>
      <c r="O69" s="58">
        <f>IF($A69="","",IFERROR(INDEX(Baseline!$F$20:$F$49,MATCH($C69,Baseline!$A$20:$A$49,0)),0))</f>
        <v/>
      </c>
      <c r="P69" s="58">
        <f>IF($A69="","",IFERROR(INDEX(Baseline!$G$20:$G$49,MATCH($C69,Baseline!$A$20:$A$49,0)),"RED"))</f>
        <v/>
      </c>
      <c r="Q69" s="58">
        <f>IF($A69="","",$A69&amp;"|"&amp;$B69&amp;"|"&amp;$C69)</f>
        <v/>
      </c>
      <c r="R69" s="59" t="n"/>
      <c r="S69" s="60" t="n"/>
    </row>
    <row r="70" ht="15" customHeight="1" s="34">
      <c r="A70" s="54" t="n"/>
      <c r="B70" s="54" t="n"/>
      <c r="C70" s="54" t="n"/>
      <c r="D70" s="55">
        <f>IF($A70="","",IFERROR(INDEX(Baseline!$B$20:$B$49,MATCH($C70,Baseline!$A$20:$A$49,0)),"Line not in baseline"))</f>
        <v/>
      </c>
      <c r="E70" s="55">
        <f>IF($A70="","",IFERROR(INDEX(Baseline!$C$20:$C$49,MATCH($C70,Baseline!$A$20:$A$49,0)),""))</f>
        <v/>
      </c>
      <c r="F70" s="56">
        <f>IF($A70="","",IFERROR(INDEX(Baseline!$E$20:$E$49,MATCH($C70,Baseline!$A$20:$A$49,0)),""))</f>
        <v/>
      </c>
      <c r="G70" s="57" t="n"/>
      <c r="H70" s="54" t="n"/>
      <c r="I70" s="54" t="n"/>
      <c r="J70" s="39">
        <f>IF($A70="","",IF($E70="Informational","GREEN",IF($G70="",IF($E70="Mandatory","RED","YELLOW"),IF($N70="Exact",IF(UPPER(TRIM($G70&amp;""))=UPPER(TRIM($F70&amp;"")),"GREEN",$P70),IF(NOT(ISNUMBER($G70)),$P70,IF($N70="Min",IF($G70&gt;=$F70,"GREEN",IF($G70&gt;=$F70-$O70,"YELLOW",$P70)),IF($N70="Max",IF($G70&lt;=$F70,"GREEN",IF($G70&lt;=$F70+$O70,"YELLOW",$P70)),IF($N70="Range",IF(ABS($G70-$F70)&lt;=$O70,"GREEN",$P70),"CHECK RULE"))))))))</f>
        <v/>
      </c>
      <c r="K70" s="39">
        <f>IF($A70="","",IF($H70="Non-Compliant","RED",IF(AND(OR($H70="Alternative Offer",$H70="Partially Compliant"),$J70="GREEN"),"YELLOW",IF(AND($J70="GREEN",ISNUMBER($R70),$R70&lt;Baseline!$B$9),"YELLOW",$J70))))</f>
        <v/>
      </c>
      <c r="L70" s="39">
        <f>IF($A70="","",IF($K70="GREEN","GREEN",IF(COUNTIFS(Exceptions!$B$5:$B$104,$A70,Exceptions!$C$5:$C$104,$B70,Exceptions!$D$5:$D$104,$C70,Exceptions!$G$5:$G$104,"Accepted",Exceptions!$H$5:$H$104,"&lt;&gt;")&gt;0,"CLEARED",$K70)))</f>
        <v/>
      </c>
      <c r="M70" s="39">
        <f>IF($A70="","",IF($H70="","Declaration missing",IF($H70="Not Stated","Not stated in quotation",IF(AND(ISNUMBER($R70),$R70&lt;Baseline!$B$9),"Low AI confidence - verify",IF(AND($H70="Fully Compliant",$J70&lt;&gt;"GREEN"),"Declared Fully - evidence differs","")))))</f>
        <v/>
      </c>
      <c r="N70" s="58">
        <f>IF($A70="","",IFERROR(INDEX(Baseline!$D$20:$D$49,MATCH($C70,Baseline!$A$20:$A$49,0)),""))</f>
        <v/>
      </c>
      <c r="O70" s="58">
        <f>IF($A70="","",IFERROR(INDEX(Baseline!$F$20:$F$49,MATCH($C70,Baseline!$A$20:$A$49,0)),0))</f>
        <v/>
      </c>
      <c r="P70" s="58">
        <f>IF($A70="","",IFERROR(INDEX(Baseline!$G$20:$G$49,MATCH($C70,Baseline!$A$20:$A$49,0)),"RED"))</f>
        <v/>
      </c>
      <c r="Q70" s="58">
        <f>IF($A70="","",$A70&amp;"|"&amp;$B70&amp;"|"&amp;$C70)</f>
        <v/>
      </c>
      <c r="R70" s="59" t="n"/>
      <c r="S70" s="60" t="n"/>
    </row>
    <row r="71" ht="15" customHeight="1" s="34">
      <c r="A71" s="54" t="n"/>
      <c r="B71" s="54" t="n"/>
      <c r="C71" s="54" t="n"/>
      <c r="D71" s="55">
        <f>IF($A71="","",IFERROR(INDEX(Baseline!$B$20:$B$49,MATCH($C71,Baseline!$A$20:$A$49,0)),"Line not in baseline"))</f>
        <v/>
      </c>
      <c r="E71" s="55">
        <f>IF($A71="","",IFERROR(INDEX(Baseline!$C$20:$C$49,MATCH($C71,Baseline!$A$20:$A$49,0)),""))</f>
        <v/>
      </c>
      <c r="F71" s="56">
        <f>IF($A71="","",IFERROR(INDEX(Baseline!$E$20:$E$49,MATCH($C71,Baseline!$A$20:$A$49,0)),""))</f>
        <v/>
      </c>
      <c r="G71" s="57" t="n"/>
      <c r="H71" s="54" t="n"/>
      <c r="I71" s="54" t="n"/>
      <c r="J71" s="39">
        <f>IF($A71="","",IF($E71="Informational","GREEN",IF($G71="",IF($E71="Mandatory","RED","YELLOW"),IF($N71="Exact",IF(UPPER(TRIM($G71&amp;""))=UPPER(TRIM($F71&amp;"")),"GREEN",$P71),IF(NOT(ISNUMBER($G71)),$P71,IF($N71="Min",IF($G71&gt;=$F71,"GREEN",IF($G71&gt;=$F71-$O71,"YELLOW",$P71)),IF($N71="Max",IF($G71&lt;=$F71,"GREEN",IF($G71&lt;=$F71+$O71,"YELLOW",$P71)),IF($N71="Range",IF(ABS($G71-$F71)&lt;=$O71,"GREEN",$P71),"CHECK RULE"))))))))</f>
        <v/>
      </c>
      <c r="K71" s="39">
        <f>IF($A71="","",IF($H71="Non-Compliant","RED",IF(AND(OR($H71="Alternative Offer",$H71="Partially Compliant"),$J71="GREEN"),"YELLOW",IF(AND($J71="GREEN",ISNUMBER($R71),$R71&lt;Baseline!$B$9),"YELLOW",$J71))))</f>
        <v/>
      </c>
      <c r="L71" s="39">
        <f>IF($A71="","",IF($K71="GREEN","GREEN",IF(COUNTIFS(Exceptions!$B$5:$B$104,$A71,Exceptions!$C$5:$C$104,$B71,Exceptions!$D$5:$D$104,$C71,Exceptions!$G$5:$G$104,"Accepted",Exceptions!$H$5:$H$104,"&lt;&gt;")&gt;0,"CLEARED",$K71)))</f>
        <v/>
      </c>
      <c r="M71" s="39">
        <f>IF($A71="","",IF($H71="","Declaration missing",IF($H71="Not Stated","Not stated in quotation",IF(AND(ISNUMBER($R71),$R71&lt;Baseline!$B$9),"Low AI confidence - verify",IF(AND($H71="Fully Compliant",$J71&lt;&gt;"GREEN"),"Declared Fully - evidence differs","")))))</f>
        <v/>
      </c>
      <c r="N71" s="58">
        <f>IF($A71="","",IFERROR(INDEX(Baseline!$D$20:$D$49,MATCH($C71,Baseline!$A$20:$A$49,0)),""))</f>
        <v/>
      </c>
      <c r="O71" s="58">
        <f>IF($A71="","",IFERROR(INDEX(Baseline!$F$20:$F$49,MATCH($C71,Baseline!$A$20:$A$49,0)),0))</f>
        <v/>
      </c>
      <c r="P71" s="58">
        <f>IF($A71="","",IFERROR(INDEX(Baseline!$G$20:$G$49,MATCH($C71,Baseline!$A$20:$A$49,0)),"RED"))</f>
        <v/>
      </c>
      <c r="Q71" s="58">
        <f>IF($A71="","",$A71&amp;"|"&amp;$B71&amp;"|"&amp;$C71)</f>
        <v/>
      </c>
      <c r="R71" s="59" t="n"/>
      <c r="S71" s="60" t="n"/>
    </row>
    <row r="72" ht="15" customHeight="1" s="34">
      <c r="A72" s="54" t="n"/>
      <c r="B72" s="54" t="n"/>
      <c r="C72" s="54" t="n"/>
      <c r="D72" s="55">
        <f>IF($A72="","",IFERROR(INDEX(Baseline!$B$20:$B$49,MATCH($C72,Baseline!$A$20:$A$49,0)),"Line not in baseline"))</f>
        <v/>
      </c>
      <c r="E72" s="55">
        <f>IF($A72="","",IFERROR(INDEX(Baseline!$C$20:$C$49,MATCH($C72,Baseline!$A$20:$A$49,0)),""))</f>
        <v/>
      </c>
      <c r="F72" s="56">
        <f>IF($A72="","",IFERROR(INDEX(Baseline!$E$20:$E$49,MATCH($C72,Baseline!$A$20:$A$49,0)),""))</f>
        <v/>
      </c>
      <c r="G72" s="57" t="n"/>
      <c r="H72" s="54" t="n"/>
      <c r="I72" s="54" t="n"/>
      <c r="J72" s="39">
        <f>IF($A72="","",IF($E72="Informational","GREEN",IF($G72="",IF($E72="Mandatory","RED","YELLOW"),IF($N72="Exact",IF(UPPER(TRIM($G72&amp;""))=UPPER(TRIM($F72&amp;"")),"GREEN",$P72),IF(NOT(ISNUMBER($G72)),$P72,IF($N72="Min",IF($G72&gt;=$F72,"GREEN",IF($G72&gt;=$F72-$O72,"YELLOW",$P72)),IF($N72="Max",IF($G72&lt;=$F72,"GREEN",IF($G72&lt;=$F72+$O72,"YELLOW",$P72)),IF($N72="Range",IF(ABS($G72-$F72)&lt;=$O72,"GREEN",$P72),"CHECK RULE"))))))))</f>
        <v/>
      </c>
      <c r="K72" s="39">
        <f>IF($A72="","",IF($H72="Non-Compliant","RED",IF(AND(OR($H72="Alternative Offer",$H72="Partially Compliant"),$J72="GREEN"),"YELLOW",IF(AND($J72="GREEN",ISNUMBER($R72),$R72&lt;Baseline!$B$9),"YELLOW",$J72))))</f>
        <v/>
      </c>
      <c r="L72" s="39">
        <f>IF($A72="","",IF($K72="GREEN","GREEN",IF(COUNTIFS(Exceptions!$B$5:$B$104,$A72,Exceptions!$C$5:$C$104,$B72,Exceptions!$D$5:$D$104,$C72,Exceptions!$G$5:$G$104,"Accepted",Exceptions!$H$5:$H$104,"&lt;&gt;")&gt;0,"CLEARED",$K72)))</f>
        <v/>
      </c>
      <c r="M72" s="39">
        <f>IF($A72="","",IF($H72="","Declaration missing",IF($H72="Not Stated","Not stated in quotation",IF(AND(ISNUMBER($R72),$R72&lt;Baseline!$B$9),"Low AI confidence - verify",IF(AND($H72="Fully Compliant",$J72&lt;&gt;"GREEN"),"Declared Fully - evidence differs","")))))</f>
        <v/>
      </c>
      <c r="N72" s="58">
        <f>IF($A72="","",IFERROR(INDEX(Baseline!$D$20:$D$49,MATCH($C72,Baseline!$A$20:$A$49,0)),""))</f>
        <v/>
      </c>
      <c r="O72" s="58">
        <f>IF($A72="","",IFERROR(INDEX(Baseline!$F$20:$F$49,MATCH($C72,Baseline!$A$20:$A$49,0)),0))</f>
        <v/>
      </c>
      <c r="P72" s="58">
        <f>IF($A72="","",IFERROR(INDEX(Baseline!$G$20:$G$49,MATCH($C72,Baseline!$A$20:$A$49,0)),"RED"))</f>
        <v/>
      </c>
      <c r="Q72" s="58">
        <f>IF($A72="","",$A72&amp;"|"&amp;$B72&amp;"|"&amp;$C72)</f>
        <v/>
      </c>
      <c r="R72" s="59" t="n"/>
      <c r="S72" s="60" t="n"/>
    </row>
    <row r="73" ht="15" customHeight="1" s="34">
      <c r="A73" s="54" t="n"/>
      <c r="B73" s="54" t="n"/>
      <c r="C73" s="54" t="n"/>
      <c r="D73" s="55">
        <f>IF($A73="","",IFERROR(INDEX(Baseline!$B$20:$B$49,MATCH($C73,Baseline!$A$20:$A$49,0)),"Line not in baseline"))</f>
        <v/>
      </c>
      <c r="E73" s="55">
        <f>IF($A73="","",IFERROR(INDEX(Baseline!$C$20:$C$49,MATCH($C73,Baseline!$A$20:$A$49,0)),""))</f>
        <v/>
      </c>
      <c r="F73" s="56">
        <f>IF($A73="","",IFERROR(INDEX(Baseline!$E$20:$E$49,MATCH($C73,Baseline!$A$20:$A$49,0)),""))</f>
        <v/>
      </c>
      <c r="G73" s="57" t="n"/>
      <c r="H73" s="54" t="n"/>
      <c r="I73" s="54" t="n"/>
      <c r="J73" s="39">
        <f>IF($A73="","",IF($E73="Informational","GREEN",IF($G73="",IF($E73="Mandatory","RED","YELLOW"),IF($N73="Exact",IF(UPPER(TRIM($G73&amp;""))=UPPER(TRIM($F73&amp;"")),"GREEN",$P73),IF(NOT(ISNUMBER($G73)),$P73,IF($N73="Min",IF($G73&gt;=$F73,"GREEN",IF($G73&gt;=$F73-$O73,"YELLOW",$P73)),IF($N73="Max",IF($G73&lt;=$F73,"GREEN",IF($G73&lt;=$F73+$O73,"YELLOW",$P73)),IF($N73="Range",IF(ABS($G73-$F73)&lt;=$O73,"GREEN",$P73),"CHECK RULE"))))))))</f>
        <v/>
      </c>
      <c r="K73" s="39">
        <f>IF($A73="","",IF($H73="Non-Compliant","RED",IF(AND(OR($H73="Alternative Offer",$H73="Partially Compliant"),$J73="GREEN"),"YELLOW",IF(AND($J73="GREEN",ISNUMBER($R73),$R73&lt;Baseline!$B$9),"YELLOW",$J73))))</f>
        <v/>
      </c>
      <c r="L73" s="39">
        <f>IF($A73="","",IF($K73="GREEN","GREEN",IF(COUNTIFS(Exceptions!$B$5:$B$104,$A73,Exceptions!$C$5:$C$104,$B73,Exceptions!$D$5:$D$104,$C73,Exceptions!$G$5:$G$104,"Accepted",Exceptions!$H$5:$H$104,"&lt;&gt;")&gt;0,"CLEARED",$K73)))</f>
        <v/>
      </c>
      <c r="M73" s="39">
        <f>IF($A73="","",IF($H73="","Declaration missing",IF($H73="Not Stated","Not stated in quotation",IF(AND(ISNUMBER($R73),$R73&lt;Baseline!$B$9),"Low AI confidence - verify",IF(AND($H73="Fully Compliant",$J73&lt;&gt;"GREEN"),"Declared Fully - evidence differs","")))))</f>
        <v/>
      </c>
      <c r="N73" s="58">
        <f>IF($A73="","",IFERROR(INDEX(Baseline!$D$20:$D$49,MATCH($C73,Baseline!$A$20:$A$49,0)),""))</f>
        <v/>
      </c>
      <c r="O73" s="58">
        <f>IF($A73="","",IFERROR(INDEX(Baseline!$F$20:$F$49,MATCH($C73,Baseline!$A$20:$A$49,0)),0))</f>
        <v/>
      </c>
      <c r="P73" s="58">
        <f>IF($A73="","",IFERROR(INDEX(Baseline!$G$20:$G$49,MATCH($C73,Baseline!$A$20:$A$49,0)),"RED"))</f>
        <v/>
      </c>
      <c r="Q73" s="58">
        <f>IF($A73="","",$A73&amp;"|"&amp;$B73&amp;"|"&amp;$C73)</f>
        <v/>
      </c>
      <c r="R73" s="59" t="n"/>
      <c r="S73" s="60" t="n"/>
    </row>
    <row r="74" ht="15" customHeight="1" s="34">
      <c r="A74" s="54" t="n"/>
      <c r="B74" s="54" t="n"/>
      <c r="C74" s="54" t="n"/>
      <c r="D74" s="55">
        <f>IF($A74="","",IFERROR(INDEX(Baseline!$B$20:$B$49,MATCH($C74,Baseline!$A$20:$A$49,0)),"Line not in baseline"))</f>
        <v/>
      </c>
      <c r="E74" s="55">
        <f>IF($A74="","",IFERROR(INDEX(Baseline!$C$20:$C$49,MATCH($C74,Baseline!$A$20:$A$49,0)),""))</f>
        <v/>
      </c>
      <c r="F74" s="56">
        <f>IF($A74="","",IFERROR(INDEX(Baseline!$E$20:$E$49,MATCH($C74,Baseline!$A$20:$A$49,0)),""))</f>
        <v/>
      </c>
      <c r="G74" s="57" t="n"/>
      <c r="H74" s="54" t="n"/>
      <c r="I74" s="54" t="n"/>
      <c r="J74" s="39">
        <f>IF($A74="","",IF($E74="Informational","GREEN",IF($G74="",IF($E74="Mandatory","RED","YELLOW"),IF($N74="Exact",IF(UPPER(TRIM($G74&amp;""))=UPPER(TRIM($F74&amp;"")),"GREEN",$P74),IF(NOT(ISNUMBER($G74)),$P74,IF($N74="Min",IF($G74&gt;=$F74,"GREEN",IF($G74&gt;=$F74-$O74,"YELLOW",$P74)),IF($N74="Max",IF($G74&lt;=$F74,"GREEN",IF($G74&lt;=$F74+$O74,"YELLOW",$P74)),IF($N74="Range",IF(ABS($G74-$F74)&lt;=$O74,"GREEN",$P74),"CHECK RULE"))))))))</f>
        <v/>
      </c>
      <c r="K74" s="39">
        <f>IF($A74="","",IF($H74="Non-Compliant","RED",IF(AND(OR($H74="Alternative Offer",$H74="Partially Compliant"),$J74="GREEN"),"YELLOW",IF(AND($J74="GREEN",ISNUMBER($R74),$R74&lt;Baseline!$B$9),"YELLOW",$J74))))</f>
        <v/>
      </c>
      <c r="L74" s="39">
        <f>IF($A74="","",IF($K74="GREEN","GREEN",IF(COUNTIFS(Exceptions!$B$5:$B$104,$A74,Exceptions!$C$5:$C$104,$B74,Exceptions!$D$5:$D$104,$C74,Exceptions!$G$5:$G$104,"Accepted",Exceptions!$H$5:$H$104,"&lt;&gt;")&gt;0,"CLEARED",$K74)))</f>
        <v/>
      </c>
      <c r="M74" s="39">
        <f>IF($A74="","",IF($H74="","Declaration missing",IF($H74="Not Stated","Not stated in quotation",IF(AND(ISNUMBER($R74),$R74&lt;Baseline!$B$9),"Low AI confidence - verify",IF(AND($H74="Fully Compliant",$J74&lt;&gt;"GREEN"),"Declared Fully - evidence differs","")))))</f>
        <v/>
      </c>
      <c r="N74" s="58">
        <f>IF($A74="","",IFERROR(INDEX(Baseline!$D$20:$D$49,MATCH($C74,Baseline!$A$20:$A$49,0)),""))</f>
        <v/>
      </c>
      <c r="O74" s="58">
        <f>IF($A74="","",IFERROR(INDEX(Baseline!$F$20:$F$49,MATCH($C74,Baseline!$A$20:$A$49,0)),0))</f>
        <v/>
      </c>
      <c r="P74" s="58">
        <f>IF($A74="","",IFERROR(INDEX(Baseline!$G$20:$G$49,MATCH($C74,Baseline!$A$20:$A$49,0)),"RED"))</f>
        <v/>
      </c>
      <c r="Q74" s="58">
        <f>IF($A74="","",$A74&amp;"|"&amp;$B74&amp;"|"&amp;$C74)</f>
        <v/>
      </c>
      <c r="R74" s="59" t="n"/>
      <c r="S74" s="60" t="n"/>
    </row>
    <row r="75" ht="15" customHeight="1" s="34">
      <c r="A75" s="54" t="n"/>
      <c r="B75" s="54" t="n"/>
      <c r="C75" s="54" t="n"/>
      <c r="D75" s="55">
        <f>IF($A75="","",IFERROR(INDEX(Baseline!$B$20:$B$49,MATCH($C75,Baseline!$A$20:$A$49,0)),"Line not in baseline"))</f>
        <v/>
      </c>
      <c r="E75" s="55">
        <f>IF($A75="","",IFERROR(INDEX(Baseline!$C$20:$C$49,MATCH($C75,Baseline!$A$20:$A$49,0)),""))</f>
        <v/>
      </c>
      <c r="F75" s="56">
        <f>IF($A75="","",IFERROR(INDEX(Baseline!$E$20:$E$49,MATCH($C75,Baseline!$A$20:$A$49,0)),""))</f>
        <v/>
      </c>
      <c r="G75" s="57" t="n"/>
      <c r="H75" s="54" t="n"/>
      <c r="I75" s="54" t="n"/>
      <c r="J75" s="39">
        <f>IF($A75="","",IF($E75="Informational","GREEN",IF($G75="",IF($E75="Mandatory","RED","YELLOW"),IF($N75="Exact",IF(UPPER(TRIM($G75&amp;""))=UPPER(TRIM($F75&amp;"")),"GREEN",$P75),IF(NOT(ISNUMBER($G75)),$P75,IF($N75="Min",IF($G75&gt;=$F75,"GREEN",IF($G75&gt;=$F75-$O75,"YELLOW",$P75)),IF($N75="Max",IF($G75&lt;=$F75,"GREEN",IF($G75&lt;=$F75+$O75,"YELLOW",$P75)),IF($N75="Range",IF(ABS($G75-$F75)&lt;=$O75,"GREEN",$P75),"CHECK RULE"))))))))</f>
        <v/>
      </c>
      <c r="K75" s="39">
        <f>IF($A75="","",IF($H75="Non-Compliant","RED",IF(AND(OR($H75="Alternative Offer",$H75="Partially Compliant"),$J75="GREEN"),"YELLOW",IF(AND($J75="GREEN",ISNUMBER($R75),$R75&lt;Baseline!$B$9),"YELLOW",$J75))))</f>
        <v/>
      </c>
      <c r="L75" s="39">
        <f>IF($A75="","",IF($K75="GREEN","GREEN",IF(COUNTIFS(Exceptions!$B$5:$B$104,$A75,Exceptions!$C$5:$C$104,$B75,Exceptions!$D$5:$D$104,$C75,Exceptions!$G$5:$G$104,"Accepted",Exceptions!$H$5:$H$104,"&lt;&gt;")&gt;0,"CLEARED",$K75)))</f>
        <v/>
      </c>
      <c r="M75" s="39">
        <f>IF($A75="","",IF($H75="","Declaration missing",IF($H75="Not Stated","Not stated in quotation",IF(AND(ISNUMBER($R75),$R75&lt;Baseline!$B$9),"Low AI confidence - verify",IF(AND($H75="Fully Compliant",$J75&lt;&gt;"GREEN"),"Declared Fully - evidence differs","")))))</f>
        <v/>
      </c>
      <c r="N75" s="58">
        <f>IF($A75="","",IFERROR(INDEX(Baseline!$D$20:$D$49,MATCH($C75,Baseline!$A$20:$A$49,0)),""))</f>
        <v/>
      </c>
      <c r="O75" s="58">
        <f>IF($A75="","",IFERROR(INDEX(Baseline!$F$20:$F$49,MATCH($C75,Baseline!$A$20:$A$49,0)),0))</f>
        <v/>
      </c>
      <c r="P75" s="58">
        <f>IF($A75="","",IFERROR(INDEX(Baseline!$G$20:$G$49,MATCH($C75,Baseline!$A$20:$A$49,0)),"RED"))</f>
        <v/>
      </c>
      <c r="Q75" s="58">
        <f>IF($A75="","",$A75&amp;"|"&amp;$B75&amp;"|"&amp;$C75)</f>
        <v/>
      </c>
      <c r="R75" s="59" t="n"/>
      <c r="S75" s="60" t="n"/>
    </row>
    <row r="76" ht="15" customHeight="1" s="34">
      <c r="A76" s="54" t="n"/>
      <c r="B76" s="54" t="n"/>
      <c r="C76" s="54" t="n"/>
      <c r="D76" s="55">
        <f>IF($A76="","",IFERROR(INDEX(Baseline!$B$20:$B$49,MATCH($C76,Baseline!$A$20:$A$49,0)),"Line not in baseline"))</f>
        <v/>
      </c>
      <c r="E76" s="55">
        <f>IF($A76="","",IFERROR(INDEX(Baseline!$C$20:$C$49,MATCH($C76,Baseline!$A$20:$A$49,0)),""))</f>
        <v/>
      </c>
      <c r="F76" s="56">
        <f>IF($A76="","",IFERROR(INDEX(Baseline!$E$20:$E$49,MATCH($C76,Baseline!$A$20:$A$49,0)),""))</f>
        <v/>
      </c>
      <c r="G76" s="57" t="n"/>
      <c r="H76" s="54" t="n"/>
      <c r="I76" s="54" t="n"/>
      <c r="J76" s="39">
        <f>IF($A76="","",IF($E76="Informational","GREEN",IF($G76="",IF($E76="Mandatory","RED","YELLOW"),IF($N76="Exact",IF(UPPER(TRIM($G76&amp;""))=UPPER(TRIM($F76&amp;"")),"GREEN",$P76),IF(NOT(ISNUMBER($G76)),$P76,IF($N76="Min",IF($G76&gt;=$F76,"GREEN",IF($G76&gt;=$F76-$O76,"YELLOW",$P76)),IF($N76="Max",IF($G76&lt;=$F76,"GREEN",IF($G76&lt;=$F76+$O76,"YELLOW",$P76)),IF($N76="Range",IF(ABS($G76-$F76)&lt;=$O76,"GREEN",$P76),"CHECK RULE"))))))))</f>
        <v/>
      </c>
      <c r="K76" s="39">
        <f>IF($A76="","",IF($H76="Non-Compliant","RED",IF(AND(OR($H76="Alternative Offer",$H76="Partially Compliant"),$J76="GREEN"),"YELLOW",IF(AND($J76="GREEN",ISNUMBER($R76),$R76&lt;Baseline!$B$9),"YELLOW",$J76))))</f>
        <v/>
      </c>
      <c r="L76" s="39">
        <f>IF($A76="","",IF($K76="GREEN","GREEN",IF(COUNTIFS(Exceptions!$B$5:$B$104,$A76,Exceptions!$C$5:$C$104,$B76,Exceptions!$D$5:$D$104,$C76,Exceptions!$G$5:$G$104,"Accepted",Exceptions!$H$5:$H$104,"&lt;&gt;")&gt;0,"CLEARED",$K76)))</f>
        <v/>
      </c>
      <c r="M76" s="39">
        <f>IF($A76="","",IF($H76="","Declaration missing",IF($H76="Not Stated","Not stated in quotation",IF(AND(ISNUMBER($R76),$R76&lt;Baseline!$B$9),"Low AI confidence - verify",IF(AND($H76="Fully Compliant",$J76&lt;&gt;"GREEN"),"Declared Fully - evidence differs","")))))</f>
        <v/>
      </c>
      <c r="N76" s="58">
        <f>IF($A76="","",IFERROR(INDEX(Baseline!$D$20:$D$49,MATCH($C76,Baseline!$A$20:$A$49,0)),""))</f>
        <v/>
      </c>
      <c r="O76" s="58">
        <f>IF($A76="","",IFERROR(INDEX(Baseline!$F$20:$F$49,MATCH($C76,Baseline!$A$20:$A$49,0)),0))</f>
        <v/>
      </c>
      <c r="P76" s="58">
        <f>IF($A76="","",IFERROR(INDEX(Baseline!$G$20:$G$49,MATCH($C76,Baseline!$A$20:$A$49,0)),"RED"))</f>
        <v/>
      </c>
      <c r="Q76" s="58">
        <f>IF($A76="","",$A76&amp;"|"&amp;$B76&amp;"|"&amp;$C76)</f>
        <v/>
      </c>
      <c r="R76" s="59" t="n"/>
      <c r="S76" s="60" t="n"/>
    </row>
    <row r="77" ht="15" customHeight="1" s="34">
      <c r="A77" s="54" t="n"/>
      <c r="B77" s="54" t="n"/>
      <c r="C77" s="54" t="n"/>
      <c r="D77" s="55">
        <f>IF($A77="","",IFERROR(INDEX(Baseline!$B$20:$B$49,MATCH($C77,Baseline!$A$20:$A$49,0)),"Line not in baseline"))</f>
        <v/>
      </c>
      <c r="E77" s="55">
        <f>IF($A77="","",IFERROR(INDEX(Baseline!$C$20:$C$49,MATCH($C77,Baseline!$A$20:$A$49,0)),""))</f>
        <v/>
      </c>
      <c r="F77" s="56">
        <f>IF($A77="","",IFERROR(INDEX(Baseline!$E$20:$E$49,MATCH($C77,Baseline!$A$20:$A$49,0)),""))</f>
        <v/>
      </c>
      <c r="G77" s="57" t="n"/>
      <c r="H77" s="54" t="n"/>
      <c r="I77" s="54" t="n"/>
      <c r="J77" s="39">
        <f>IF($A77="","",IF($E77="Informational","GREEN",IF($G77="",IF($E77="Mandatory","RED","YELLOW"),IF($N77="Exact",IF(UPPER(TRIM($G77&amp;""))=UPPER(TRIM($F77&amp;"")),"GREEN",$P77),IF(NOT(ISNUMBER($G77)),$P77,IF($N77="Min",IF($G77&gt;=$F77,"GREEN",IF($G77&gt;=$F77-$O77,"YELLOW",$P77)),IF($N77="Max",IF($G77&lt;=$F77,"GREEN",IF($G77&lt;=$F77+$O77,"YELLOW",$P77)),IF($N77="Range",IF(ABS($G77-$F77)&lt;=$O77,"GREEN",$P77),"CHECK RULE"))))))))</f>
        <v/>
      </c>
      <c r="K77" s="39">
        <f>IF($A77="","",IF($H77="Non-Compliant","RED",IF(AND(OR($H77="Alternative Offer",$H77="Partially Compliant"),$J77="GREEN"),"YELLOW",IF(AND($J77="GREEN",ISNUMBER($R77),$R77&lt;Baseline!$B$9),"YELLOW",$J77))))</f>
        <v/>
      </c>
      <c r="L77" s="39">
        <f>IF($A77="","",IF($K77="GREEN","GREEN",IF(COUNTIFS(Exceptions!$B$5:$B$104,$A77,Exceptions!$C$5:$C$104,$B77,Exceptions!$D$5:$D$104,$C77,Exceptions!$G$5:$G$104,"Accepted",Exceptions!$H$5:$H$104,"&lt;&gt;")&gt;0,"CLEARED",$K77)))</f>
        <v/>
      </c>
      <c r="M77" s="39">
        <f>IF($A77="","",IF($H77="","Declaration missing",IF($H77="Not Stated","Not stated in quotation",IF(AND(ISNUMBER($R77),$R77&lt;Baseline!$B$9),"Low AI confidence - verify",IF(AND($H77="Fully Compliant",$J77&lt;&gt;"GREEN"),"Declared Fully - evidence differs","")))))</f>
        <v/>
      </c>
      <c r="N77" s="58">
        <f>IF($A77="","",IFERROR(INDEX(Baseline!$D$20:$D$49,MATCH($C77,Baseline!$A$20:$A$49,0)),""))</f>
        <v/>
      </c>
      <c r="O77" s="58">
        <f>IF($A77="","",IFERROR(INDEX(Baseline!$F$20:$F$49,MATCH($C77,Baseline!$A$20:$A$49,0)),0))</f>
        <v/>
      </c>
      <c r="P77" s="58">
        <f>IF($A77="","",IFERROR(INDEX(Baseline!$G$20:$G$49,MATCH($C77,Baseline!$A$20:$A$49,0)),"RED"))</f>
        <v/>
      </c>
      <c r="Q77" s="58">
        <f>IF($A77="","",$A77&amp;"|"&amp;$B77&amp;"|"&amp;$C77)</f>
        <v/>
      </c>
      <c r="R77" s="59" t="n"/>
      <c r="S77" s="60" t="n"/>
    </row>
    <row r="78" ht="15" customHeight="1" s="34">
      <c r="A78" s="54" t="n"/>
      <c r="B78" s="54" t="n"/>
      <c r="C78" s="54" t="n"/>
      <c r="D78" s="55">
        <f>IF($A78="","",IFERROR(INDEX(Baseline!$B$20:$B$49,MATCH($C78,Baseline!$A$20:$A$49,0)),"Line not in baseline"))</f>
        <v/>
      </c>
      <c r="E78" s="55">
        <f>IF($A78="","",IFERROR(INDEX(Baseline!$C$20:$C$49,MATCH($C78,Baseline!$A$20:$A$49,0)),""))</f>
        <v/>
      </c>
      <c r="F78" s="56">
        <f>IF($A78="","",IFERROR(INDEX(Baseline!$E$20:$E$49,MATCH($C78,Baseline!$A$20:$A$49,0)),""))</f>
        <v/>
      </c>
      <c r="G78" s="57" t="n"/>
      <c r="H78" s="54" t="n"/>
      <c r="I78" s="54" t="n"/>
      <c r="J78" s="39">
        <f>IF($A78="","",IF($E78="Informational","GREEN",IF($G78="",IF($E78="Mandatory","RED","YELLOW"),IF($N78="Exact",IF(UPPER(TRIM($G78&amp;""))=UPPER(TRIM($F78&amp;"")),"GREEN",$P78),IF(NOT(ISNUMBER($G78)),$P78,IF($N78="Min",IF($G78&gt;=$F78,"GREEN",IF($G78&gt;=$F78-$O78,"YELLOW",$P78)),IF($N78="Max",IF($G78&lt;=$F78,"GREEN",IF($G78&lt;=$F78+$O78,"YELLOW",$P78)),IF($N78="Range",IF(ABS($G78-$F78)&lt;=$O78,"GREEN",$P78),"CHECK RULE"))))))))</f>
        <v/>
      </c>
      <c r="K78" s="39">
        <f>IF($A78="","",IF($H78="Non-Compliant","RED",IF(AND(OR($H78="Alternative Offer",$H78="Partially Compliant"),$J78="GREEN"),"YELLOW",IF(AND($J78="GREEN",ISNUMBER($R78),$R78&lt;Baseline!$B$9),"YELLOW",$J78))))</f>
        <v/>
      </c>
      <c r="L78" s="39">
        <f>IF($A78="","",IF($K78="GREEN","GREEN",IF(COUNTIFS(Exceptions!$B$5:$B$104,$A78,Exceptions!$C$5:$C$104,$B78,Exceptions!$D$5:$D$104,$C78,Exceptions!$G$5:$G$104,"Accepted",Exceptions!$H$5:$H$104,"&lt;&gt;")&gt;0,"CLEARED",$K78)))</f>
        <v/>
      </c>
      <c r="M78" s="39">
        <f>IF($A78="","",IF($H78="","Declaration missing",IF($H78="Not Stated","Not stated in quotation",IF(AND(ISNUMBER($R78),$R78&lt;Baseline!$B$9),"Low AI confidence - verify",IF(AND($H78="Fully Compliant",$J78&lt;&gt;"GREEN"),"Declared Fully - evidence differs","")))))</f>
        <v/>
      </c>
      <c r="N78" s="58">
        <f>IF($A78="","",IFERROR(INDEX(Baseline!$D$20:$D$49,MATCH($C78,Baseline!$A$20:$A$49,0)),""))</f>
        <v/>
      </c>
      <c r="O78" s="58">
        <f>IF($A78="","",IFERROR(INDEX(Baseline!$F$20:$F$49,MATCH($C78,Baseline!$A$20:$A$49,0)),0))</f>
        <v/>
      </c>
      <c r="P78" s="58">
        <f>IF($A78="","",IFERROR(INDEX(Baseline!$G$20:$G$49,MATCH($C78,Baseline!$A$20:$A$49,0)),"RED"))</f>
        <v/>
      </c>
      <c r="Q78" s="58">
        <f>IF($A78="","",$A78&amp;"|"&amp;$B78&amp;"|"&amp;$C78)</f>
        <v/>
      </c>
      <c r="R78" s="59" t="n"/>
      <c r="S78" s="60" t="n"/>
    </row>
    <row r="79" ht="15" customHeight="1" s="34">
      <c r="A79" s="54" t="n"/>
      <c r="B79" s="54" t="n"/>
      <c r="C79" s="54" t="n"/>
      <c r="D79" s="55">
        <f>IF($A79="","",IFERROR(INDEX(Baseline!$B$20:$B$49,MATCH($C79,Baseline!$A$20:$A$49,0)),"Line not in baseline"))</f>
        <v/>
      </c>
      <c r="E79" s="55">
        <f>IF($A79="","",IFERROR(INDEX(Baseline!$C$20:$C$49,MATCH($C79,Baseline!$A$20:$A$49,0)),""))</f>
        <v/>
      </c>
      <c r="F79" s="56">
        <f>IF($A79="","",IFERROR(INDEX(Baseline!$E$20:$E$49,MATCH($C79,Baseline!$A$20:$A$49,0)),""))</f>
        <v/>
      </c>
      <c r="G79" s="57" t="n"/>
      <c r="H79" s="54" t="n"/>
      <c r="I79" s="54" t="n"/>
      <c r="J79" s="39">
        <f>IF($A79="","",IF($E79="Informational","GREEN",IF($G79="",IF($E79="Mandatory","RED","YELLOW"),IF($N79="Exact",IF(UPPER(TRIM($G79&amp;""))=UPPER(TRIM($F79&amp;"")),"GREEN",$P79),IF(NOT(ISNUMBER($G79)),$P79,IF($N79="Min",IF($G79&gt;=$F79,"GREEN",IF($G79&gt;=$F79-$O79,"YELLOW",$P79)),IF($N79="Max",IF($G79&lt;=$F79,"GREEN",IF($G79&lt;=$F79+$O79,"YELLOW",$P79)),IF($N79="Range",IF(ABS($G79-$F79)&lt;=$O79,"GREEN",$P79),"CHECK RULE"))))))))</f>
        <v/>
      </c>
      <c r="K79" s="39">
        <f>IF($A79="","",IF($H79="Non-Compliant","RED",IF(AND(OR($H79="Alternative Offer",$H79="Partially Compliant"),$J79="GREEN"),"YELLOW",IF(AND($J79="GREEN",ISNUMBER($R79),$R79&lt;Baseline!$B$9),"YELLOW",$J79))))</f>
        <v/>
      </c>
      <c r="L79" s="39">
        <f>IF($A79="","",IF($K79="GREEN","GREEN",IF(COUNTIFS(Exceptions!$B$5:$B$104,$A79,Exceptions!$C$5:$C$104,$B79,Exceptions!$D$5:$D$104,$C79,Exceptions!$G$5:$G$104,"Accepted",Exceptions!$H$5:$H$104,"&lt;&gt;")&gt;0,"CLEARED",$K79)))</f>
        <v/>
      </c>
      <c r="M79" s="39">
        <f>IF($A79="","",IF($H79="","Declaration missing",IF($H79="Not Stated","Not stated in quotation",IF(AND(ISNUMBER($R79),$R79&lt;Baseline!$B$9),"Low AI confidence - verify",IF(AND($H79="Fully Compliant",$J79&lt;&gt;"GREEN"),"Declared Fully - evidence differs","")))))</f>
        <v/>
      </c>
      <c r="N79" s="58">
        <f>IF($A79="","",IFERROR(INDEX(Baseline!$D$20:$D$49,MATCH($C79,Baseline!$A$20:$A$49,0)),""))</f>
        <v/>
      </c>
      <c r="O79" s="58">
        <f>IF($A79="","",IFERROR(INDEX(Baseline!$F$20:$F$49,MATCH($C79,Baseline!$A$20:$A$49,0)),0))</f>
        <v/>
      </c>
      <c r="P79" s="58">
        <f>IF($A79="","",IFERROR(INDEX(Baseline!$G$20:$G$49,MATCH($C79,Baseline!$A$20:$A$49,0)),"RED"))</f>
        <v/>
      </c>
      <c r="Q79" s="58">
        <f>IF($A79="","",$A79&amp;"|"&amp;$B79&amp;"|"&amp;$C79)</f>
        <v/>
      </c>
      <c r="R79" s="59" t="n"/>
      <c r="S79" s="60" t="n"/>
    </row>
    <row r="80" ht="15" customHeight="1" s="34">
      <c r="A80" s="54" t="n"/>
      <c r="B80" s="54" t="n"/>
      <c r="C80" s="54" t="n"/>
      <c r="D80" s="55">
        <f>IF($A80="","",IFERROR(INDEX(Baseline!$B$20:$B$49,MATCH($C80,Baseline!$A$20:$A$49,0)),"Line not in baseline"))</f>
        <v/>
      </c>
      <c r="E80" s="55">
        <f>IF($A80="","",IFERROR(INDEX(Baseline!$C$20:$C$49,MATCH($C80,Baseline!$A$20:$A$49,0)),""))</f>
        <v/>
      </c>
      <c r="F80" s="56">
        <f>IF($A80="","",IFERROR(INDEX(Baseline!$E$20:$E$49,MATCH($C80,Baseline!$A$20:$A$49,0)),""))</f>
        <v/>
      </c>
      <c r="G80" s="57" t="n"/>
      <c r="H80" s="54" t="n"/>
      <c r="I80" s="54" t="n"/>
      <c r="J80" s="39">
        <f>IF($A80="","",IF($E80="Informational","GREEN",IF($G80="",IF($E80="Mandatory","RED","YELLOW"),IF($N80="Exact",IF(UPPER(TRIM($G80&amp;""))=UPPER(TRIM($F80&amp;"")),"GREEN",$P80),IF(NOT(ISNUMBER($G80)),$P80,IF($N80="Min",IF($G80&gt;=$F80,"GREEN",IF($G80&gt;=$F80-$O80,"YELLOW",$P80)),IF($N80="Max",IF($G80&lt;=$F80,"GREEN",IF($G80&lt;=$F80+$O80,"YELLOW",$P80)),IF($N80="Range",IF(ABS($G80-$F80)&lt;=$O80,"GREEN",$P80),"CHECK RULE"))))))))</f>
        <v/>
      </c>
      <c r="K80" s="39">
        <f>IF($A80="","",IF($H80="Non-Compliant","RED",IF(AND(OR($H80="Alternative Offer",$H80="Partially Compliant"),$J80="GREEN"),"YELLOW",IF(AND($J80="GREEN",ISNUMBER($R80),$R80&lt;Baseline!$B$9),"YELLOW",$J80))))</f>
        <v/>
      </c>
      <c r="L80" s="39">
        <f>IF($A80="","",IF($K80="GREEN","GREEN",IF(COUNTIFS(Exceptions!$B$5:$B$104,$A80,Exceptions!$C$5:$C$104,$B80,Exceptions!$D$5:$D$104,$C80,Exceptions!$G$5:$G$104,"Accepted",Exceptions!$H$5:$H$104,"&lt;&gt;")&gt;0,"CLEARED",$K80)))</f>
        <v/>
      </c>
      <c r="M80" s="39">
        <f>IF($A80="","",IF($H80="","Declaration missing",IF($H80="Not Stated","Not stated in quotation",IF(AND(ISNUMBER($R80),$R80&lt;Baseline!$B$9),"Low AI confidence - verify",IF(AND($H80="Fully Compliant",$J80&lt;&gt;"GREEN"),"Declared Fully - evidence differs","")))))</f>
        <v/>
      </c>
      <c r="N80" s="58">
        <f>IF($A80="","",IFERROR(INDEX(Baseline!$D$20:$D$49,MATCH($C80,Baseline!$A$20:$A$49,0)),""))</f>
        <v/>
      </c>
      <c r="O80" s="58">
        <f>IF($A80="","",IFERROR(INDEX(Baseline!$F$20:$F$49,MATCH($C80,Baseline!$A$20:$A$49,0)),0))</f>
        <v/>
      </c>
      <c r="P80" s="58">
        <f>IF($A80="","",IFERROR(INDEX(Baseline!$G$20:$G$49,MATCH($C80,Baseline!$A$20:$A$49,0)),"RED"))</f>
        <v/>
      </c>
      <c r="Q80" s="58">
        <f>IF($A80="","",$A80&amp;"|"&amp;$B80&amp;"|"&amp;$C80)</f>
        <v/>
      </c>
      <c r="R80" s="59" t="n"/>
      <c r="S80" s="60" t="n"/>
    </row>
    <row r="81" ht="15" customHeight="1" s="34">
      <c r="A81" s="54" t="n"/>
      <c r="B81" s="54" t="n"/>
      <c r="C81" s="54" t="n"/>
      <c r="D81" s="55">
        <f>IF($A81="","",IFERROR(INDEX(Baseline!$B$20:$B$49,MATCH($C81,Baseline!$A$20:$A$49,0)),"Line not in baseline"))</f>
        <v/>
      </c>
      <c r="E81" s="55">
        <f>IF($A81="","",IFERROR(INDEX(Baseline!$C$20:$C$49,MATCH($C81,Baseline!$A$20:$A$49,0)),""))</f>
        <v/>
      </c>
      <c r="F81" s="56">
        <f>IF($A81="","",IFERROR(INDEX(Baseline!$E$20:$E$49,MATCH($C81,Baseline!$A$20:$A$49,0)),""))</f>
        <v/>
      </c>
      <c r="G81" s="57" t="n"/>
      <c r="H81" s="54" t="n"/>
      <c r="I81" s="54" t="n"/>
      <c r="J81" s="39">
        <f>IF($A81="","",IF($E81="Informational","GREEN",IF($G81="",IF($E81="Mandatory","RED","YELLOW"),IF($N81="Exact",IF(UPPER(TRIM($G81&amp;""))=UPPER(TRIM($F81&amp;"")),"GREEN",$P81),IF(NOT(ISNUMBER($G81)),$P81,IF($N81="Min",IF($G81&gt;=$F81,"GREEN",IF($G81&gt;=$F81-$O81,"YELLOW",$P81)),IF($N81="Max",IF($G81&lt;=$F81,"GREEN",IF($G81&lt;=$F81+$O81,"YELLOW",$P81)),IF($N81="Range",IF(ABS($G81-$F81)&lt;=$O81,"GREEN",$P81),"CHECK RULE"))))))))</f>
        <v/>
      </c>
      <c r="K81" s="39">
        <f>IF($A81="","",IF($H81="Non-Compliant","RED",IF(AND(OR($H81="Alternative Offer",$H81="Partially Compliant"),$J81="GREEN"),"YELLOW",IF(AND($J81="GREEN",ISNUMBER($R81),$R81&lt;Baseline!$B$9),"YELLOW",$J81))))</f>
        <v/>
      </c>
      <c r="L81" s="39">
        <f>IF($A81="","",IF($K81="GREEN","GREEN",IF(COUNTIFS(Exceptions!$B$5:$B$104,$A81,Exceptions!$C$5:$C$104,$B81,Exceptions!$D$5:$D$104,$C81,Exceptions!$G$5:$G$104,"Accepted",Exceptions!$H$5:$H$104,"&lt;&gt;")&gt;0,"CLEARED",$K81)))</f>
        <v/>
      </c>
      <c r="M81" s="39">
        <f>IF($A81="","",IF($H81="","Declaration missing",IF($H81="Not Stated","Not stated in quotation",IF(AND(ISNUMBER($R81),$R81&lt;Baseline!$B$9),"Low AI confidence - verify",IF(AND($H81="Fully Compliant",$J81&lt;&gt;"GREEN"),"Declared Fully - evidence differs","")))))</f>
        <v/>
      </c>
      <c r="N81" s="58">
        <f>IF($A81="","",IFERROR(INDEX(Baseline!$D$20:$D$49,MATCH($C81,Baseline!$A$20:$A$49,0)),""))</f>
        <v/>
      </c>
      <c r="O81" s="58">
        <f>IF($A81="","",IFERROR(INDEX(Baseline!$F$20:$F$49,MATCH($C81,Baseline!$A$20:$A$49,0)),0))</f>
        <v/>
      </c>
      <c r="P81" s="58">
        <f>IF($A81="","",IFERROR(INDEX(Baseline!$G$20:$G$49,MATCH($C81,Baseline!$A$20:$A$49,0)),"RED"))</f>
        <v/>
      </c>
      <c r="Q81" s="58">
        <f>IF($A81="","",$A81&amp;"|"&amp;$B81&amp;"|"&amp;$C81)</f>
        <v/>
      </c>
      <c r="R81" s="59" t="n"/>
      <c r="S81" s="60" t="n"/>
    </row>
    <row r="82" ht="15" customHeight="1" s="34">
      <c r="A82" s="54" t="n"/>
      <c r="B82" s="54" t="n"/>
      <c r="C82" s="54" t="n"/>
      <c r="D82" s="55">
        <f>IF($A82="","",IFERROR(INDEX(Baseline!$B$20:$B$49,MATCH($C82,Baseline!$A$20:$A$49,0)),"Line not in baseline"))</f>
        <v/>
      </c>
      <c r="E82" s="55">
        <f>IF($A82="","",IFERROR(INDEX(Baseline!$C$20:$C$49,MATCH($C82,Baseline!$A$20:$A$49,0)),""))</f>
        <v/>
      </c>
      <c r="F82" s="56">
        <f>IF($A82="","",IFERROR(INDEX(Baseline!$E$20:$E$49,MATCH($C82,Baseline!$A$20:$A$49,0)),""))</f>
        <v/>
      </c>
      <c r="G82" s="57" t="n"/>
      <c r="H82" s="54" t="n"/>
      <c r="I82" s="54" t="n"/>
      <c r="J82" s="39">
        <f>IF($A82="","",IF($E82="Informational","GREEN",IF($G82="",IF($E82="Mandatory","RED","YELLOW"),IF($N82="Exact",IF(UPPER(TRIM($G82&amp;""))=UPPER(TRIM($F82&amp;"")),"GREEN",$P82),IF(NOT(ISNUMBER($G82)),$P82,IF($N82="Min",IF($G82&gt;=$F82,"GREEN",IF($G82&gt;=$F82-$O82,"YELLOW",$P82)),IF($N82="Max",IF($G82&lt;=$F82,"GREEN",IF($G82&lt;=$F82+$O82,"YELLOW",$P82)),IF($N82="Range",IF(ABS($G82-$F82)&lt;=$O82,"GREEN",$P82),"CHECK RULE"))))))))</f>
        <v/>
      </c>
      <c r="K82" s="39">
        <f>IF($A82="","",IF($H82="Non-Compliant","RED",IF(AND(OR($H82="Alternative Offer",$H82="Partially Compliant"),$J82="GREEN"),"YELLOW",IF(AND($J82="GREEN",ISNUMBER($R82),$R82&lt;Baseline!$B$9),"YELLOW",$J82))))</f>
        <v/>
      </c>
      <c r="L82" s="39">
        <f>IF($A82="","",IF($K82="GREEN","GREEN",IF(COUNTIFS(Exceptions!$B$5:$B$104,$A82,Exceptions!$C$5:$C$104,$B82,Exceptions!$D$5:$D$104,$C82,Exceptions!$G$5:$G$104,"Accepted",Exceptions!$H$5:$H$104,"&lt;&gt;")&gt;0,"CLEARED",$K82)))</f>
        <v/>
      </c>
      <c r="M82" s="39">
        <f>IF($A82="","",IF($H82="","Declaration missing",IF($H82="Not Stated","Not stated in quotation",IF(AND(ISNUMBER($R82),$R82&lt;Baseline!$B$9),"Low AI confidence - verify",IF(AND($H82="Fully Compliant",$J82&lt;&gt;"GREEN"),"Declared Fully - evidence differs","")))))</f>
        <v/>
      </c>
      <c r="N82" s="58">
        <f>IF($A82="","",IFERROR(INDEX(Baseline!$D$20:$D$49,MATCH($C82,Baseline!$A$20:$A$49,0)),""))</f>
        <v/>
      </c>
      <c r="O82" s="58">
        <f>IF($A82="","",IFERROR(INDEX(Baseline!$F$20:$F$49,MATCH($C82,Baseline!$A$20:$A$49,0)),0))</f>
        <v/>
      </c>
      <c r="P82" s="58">
        <f>IF($A82="","",IFERROR(INDEX(Baseline!$G$20:$G$49,MATCH($C82,Baseline!$A$20:$A$49,0)),"RED"))</f>
        <v/>
      </c>
      <c r="Q82" s="58">
        <f>IF($A82="","",$A82&amp;"|"&amp;$B82&amp;"|"&amp;$C82)</f>
        <v/>
      </c>
      <c r="R82" s="59" t="n"/>
      <c r="S82" s="60" t="n"/>
    </row>
    <row r="83" ht="15" customHeight="1" s="34">
      <c r="A83" s="54" t="n"/>
      <c r="B83" s="54" t="n"/>
      <c r="C83" s="54" t="n"/>
      <c r="D83" s="55">
        <f>IF($A83="","",IFERROR(INDEX(Baseline!$B$20:$B$49,MATCH($C83,Baseline!$A$20:$A$49,0)),"Line not in baseline"))</f>
        <v/>
      </c>
      <c r="E83" s="55">
        <f>IF($A83="","",IFERROR(INDEX(Baseline!$C$20:$C$49,MATCH($C83,Baseline!$A$20:$A$49,0)),""))</f>
        <v/>
      </c>
      <c r="F83" s="56">
        <f>IF($A83="","",IFERROR(INDEX(Baseline!$E$20:$E$49,MATCH($C83,Baseline!$A$20:$A$49,0)),""))</f>
        <v/>
      </c>
      <c r="G83" s="57" t="n"/>
      <c r="H83" s="54" t="n"/>
      <c r="I83" s="54" t="n"/>
      <c r="J83" s="39">
        <f>IF($A83="","",IF($E83="Informational","GREEN",IF($G83="",IF($E83="Mandatory","RED","YELLOW"),IF($N83="Exact",IF(UPPER(TRIM($G83&amp;""))=UPPER(TRIM($F83&amp;"")),"GREEN",$P83),IF(NOT(ISNUMBER($G83)),$P83,IF($N83="Min",IF($G83&gt;=$F83,"GREEN",IF($G83&gt;=$F83-$O83,"YELLOW",$P83)),IF($N83="Max",IF($G83&lt;=$F83,"GREEN",IF($G83&lt;=$F83+$O83,"YELLOW",$P83)),IF($N83="Range",IF(ABS($G83-$F83)&lt;=$O83,"GREEN",$P83),"CHECK RULE"))))))))</f>
        <v/>
      </c>
      <c r="K83" s="39">
        <f>IF($A83="","",IF($H83="Non-Compliant","RED",IF(AND(OR($H83="Alternative Offer",$H83="Partially Compliant"),$J83="GREEN"),"YELLOW",IF(AND($J83="GREEN",ISNUMBER($R83),$R83&lt;Baseline!$B$9),"YELLOW",$J83))))</f>
        <v/>
      </c>
      <c r="L83" s="39">
        <f>IF($A83="","",IF($K83="GREEN","GREEN",IF(COUNTIFS(Exceptions!$B$5:$B$104,$A83,Exceptions!$C$5:$C$104,$B83,Exceptions!$D$5:$D$104,$C83,Exceptions!$G$5:$G$104,"Accepted",Exceptions!$H$5:$H$104,"&lt;&gt;")&gt;0,"CLEARED",$K83)))</f>
        <v/>
      </c>
      <c r="M83" s="39">
        <f>IF($A83="","",IF($H83="","Declaration missing",IF($H83="Not Stated","Not stated in quotation",IF(AND(ISNUMBER($R83),$R83&lt;Baseline!$B$9),"Low AI confidence - verify",IF(AND($H83="Fully Compliant",$J83&lt;&gt;"GREEN"),"Declared Fully - evidence differs","")))))</f>
        <v/>
      </c>
      <c r="N83" s="58">
        <f>IF($A83="","",IFERROR(INDEX(Baseline!$D$20:$D$49,MATCH($C83,Baseline!$A$20:$A$49,0)),""))</f>
        <v/>
      </c>
      <c r="O83" s="58">
        <f>IF($A83="","",IFERROR(INDEX(Baseline!$F$20:$F$49,MATCH($C83,Baseline!$A$20:$A$49,0)),0))</f>
        <v/>
      </c>
      <c r="P83" s="58">
        <f>IF($A83="","",IFERROR(INDEX(Baseline!$G$20:$G$49,MATCH($C83,Baseline!$A$20:$A$49,0)),"RED"))</f>
        <v/>
      </c>
      <c r="Q83" s="58">
        <f>IF($A83="","",$A83&amp;"|"&amp;$B83&amp;"|"&amp;$C83)</f>
        <v/>
      </c>
      <c r="R83" s="59" t="n"/>
      <c r="S83" s="60" t="n"/>
    </row>
    <row r="84" ht="15" customHeight="1" s="34">
      <c r="A84" s="54" t="n"/>
      <c r="B84" s="54" t="n"/>
      <c r="C84" s="54" t="n"/>
      <c r="D84" s="55">
        <f>IF($A84="","",IFERROR(INDEX(Baseline!$B$20:$B$49,MATCH($C84,Baseline!$A$20:$A$49,0)),"Line not in baseline"))</f>
        <v/>
      </c>
      <c r="E84" s="55">
        <f>IF($A84="","",IFERROR(INDEX(Baseline!$C$20:$C$49,MATCH($C84,Baseline!$A$20:$A$49,0)),""))</f>
        <v/>
      </c>
      <c r="F84" s="56">
        <f>IF($A84="","",IFERROR(INDEX(Baseline!$E$20:$E$49,MATCH($C84,Baseline!$A$20:$A$49,0)),""))</f>
        <v/>
      </c>
      <c r="G84" s="57" t="n"/>
      <c r="H84" s="54" t="n"/>
      <c r="I84" s="54" t="n"/>
      <c r="J84" s="39">
        <f>IF($A84="","",IF($E84="Informational","GREEN",IF($G84="",IF($E84="Mandatory","RED","YELLOW"),IF($N84="Exact",IF(UPPER(TRIM($G84&amp;""))=UPPER(TRIM($F84&amp;"")),"GREEN",$P84),IF(NOT(ISNUMBER($G84)),$P84,IF($N84="Min",IF($G84&gt;=$F84,"GREEN",IF($G84&gt;=$F84-$O84,"YELLOW",$P84)),IF($N84="Max",IF($G84&lt;=$F84,"GREEN",IF($G84&lt;=$F84+$O84,"YELLOW",$P84)),IF($N84="Range",IF(ABS($G84-$F84)&lt;=$O84,"GREEN",$P84),"CHECK RULE"))))))))</f>
        <v/>
      </c>
      <c r="K84" s="39">
        <f>IF($A84="","",IF($H84="Non-Compliant","RED",IF(AND(OR($H84="Alternative Offer",$H84="Partially Compliant"),$J84="GREEN"),"YELLOW",IF(AND($J84="GREEN",ISNUMBER($R84),$R84&lt;Baseline!$B$9),"YELLOW",$J84))))</f>
        <v/>
      </c>
      <c r="L84" s="39">
        <f>IF($A84="","",IF($K84="GREEN","GREEN",IF(COUNTIFS(Exceptions!$B$5:$B$104,$A84,Exceptions!$C$5:$C$104,$B84,Exceptions!$D$5:$D$104,$C84,Exceptions!$G$5:$G$104,"Accepted",Exceptions!$H$5:$H$104,"&lt;&gt;")&gt;0,"CLEARED",$K84)))</f>
        <v/>
      </c>
      <c r="M84" s="39">
        <f>IF($A84="","",IF($H84="","Declaration missing",IF($H84="Not Stated","Not stated in quotation",IF(AND(ISNUMBER($R84),$R84&lt;Baseline!$B$9),"Low AI confidence - verify",IF(AND($H84="Fully Compliant",$J84&lt;&gt;"GREEN"),"Declared Fully - evidence differs","")))))</f>
        <v/>
      </c>
      <c r="N84" s="58">
        <f>IF($A84="","",IFERROR(INDEX(Baseline!$D$20:$D$49,MATCH($C84,Baseline!$A$20:$A$49,0)),""))</f>
        <v/>
      </c>
      <c r="O84" s="58">
        <f>IF($A84="","",IFERROR(INDEX(Baseline!$F$20:$F$49,MATCH($C84,Baseline!$A$20:$A$49,0)),0))</f>
        <v/>
      </c>
      <c r="P84" s="58">
        <f>IF($A84="","",IFERROR(INDEX(Baseline!$G$20:$G$49,MATCH($C84,Baseline!$A$20:$A$49,0)),"RED"))</f>
        <v/>
      </c>
      <c r="Q84" s="58">
        <f>IF($A84="","",$A84&amp;"|"&amp;$B84&amp;"|"&amp;$C84)</f>
        <v/>
      </c>
      <c r="R84" s="59" t="n"/>
      <c r="S84" s="60" t="n"/>
    </row>
    <row r="85" ht="15" customHeight="1" s="34">
      <c r="A85" s="54" t="n"/>
      <c r="B85" s="54" t="n"/>
      <c r="C85" s="54" t="n"/>
      <c r="D85" s="55">
        <f>IF($A85="","",IFERROR(INDEX(Baseline!$B$20:$B$49,MATCH($C85,Baseline!$A$20:$A$49,0)),"Line not in baseline"))</f>
        <v/>
      </c>
      <c r="E85" s="55">
        <f>IF($A85="","",IFERROR(INDEX(Baseline!$C$20:$C$49,MATCH($C85,Baseline!$A$20:$A$49,0)),""))</f>
        <v/>
      </c>
      <c r="F85" s="56">
        <f>IF($A85="","",IFERROR(INDEX(Baseline!$E$20:$E$49,MATCH($C85,Baseline!$A$20:$A$49,0)),""))</f>
        <v/>
      </c>
      <c r="G85" s="57" t="n"/>
      <c r="H85" s="54" t="n"/>
      <c r="I85" s="54" t="n"/>
      <c r="J85" s="39">
        <f>IF($A85="","",IF($E85="Informational","GREEN",IF($G85="",IF($E85="Mandatory","RED","YELLOW"),IF($N85="Exact",IF(UPPER(TRIM($G85&amp;""))=UPPER(TRIM($F85&amp;"")),"GREEN",$P85),IF(NOT(ISNUMBER($G85)),$P85,IF($N85="Min",IF($G85&gt;=$F85,"GREEN",IF($G85&gt;=$F85-$O85,"YELLOW",$P85)),IF($N85="Max",IF($G85&lt;=$F85,"GREEN",IF($G85&lt;=$F85+$O85,"YELLOW",$P85)),IF($N85="Range",IF(ABS($G85-$F85)&lt;=$O85,"GREEN",$P85),"CHECK RULE"))))))))</f>
        <v/>
      </c>
      <c r="K85" s="39">
        <f>IF($A85="","",IF($H85="Non-Compliant","RED",IF(AND(OR($H85="Alternative Offer",$H85="Partially Compliant"),$J85="GREEN"),"YELLOW",IF(AND($J85="GREEN",ISNUMBER($R85),$R85&lt;Baseline!$B$9),"YELLOW",$J85))))</f>
        <v/>
      </c>
      <c r="L85" s="39">
        <f>IF($A85="","",IF($K85="GREEN","GREEN",IF(COUNTIFS(Exceptions!$B$5:$B$104,$A85,Exceptions!$C$5:$C$104,$B85,Exceptions!$D$5:$D$104,$C85,Exceptions!$G$5:$G$104,"Accepted",Exceptions!$H$5:$H$104,"&lt;&gt;")&gt;0,"CLEARED",$K85)))</f>
        <v/>
      </c>
      <c r="M85" s="39">
        <f>IF($A85="","",IF($H85="","Declaration missing",IF($H85="Not Stated","Not stated in quotation",IF(AND(ISNUMBER($R85),$R85&lt;Baseline!$B$9),"Low AI confidence - verify",IF(AND($H85="Fully Compliant",$J85&lt;&gt;"GREEN"),"Declared Fully - evidence differs","")))))</f>
        <v/>
      </c>
      <c r="N85" s="58">
        <f>IF($A85="","",IFERROR(INDEX(Baseline!$D$20:$D$49,MATCH($C85,Baseline!$A$20:$A$49,0)),""))</f>
        <v/>
      </c>
      <c r="O85" s="58">
        <f>IF($A85="","",IFERROR(INDEX(Baseline!$F$20:$F$49,MATCH($C85,Baseline!$A$20:$A$49,0)),0))</f>
        <v/>
      </c>
      <c r="P85" s="58">
        <f>IF($A85="","",IFERROR(INDEX(Baseline!$G$20:$G$49,MATCH($C85,Baseline!$A$20:$A$49,0)),"RED"))</f>
        <v/>
      </c>
      <c r="Q85" s="58">
        <f>IF($A85="","",$A85&amp;"|"&amp;$B85&amp;"|"&amp;$C85)</f>
        <v/>
      </c>
      <c r="R85" s="59" t="n"/>
      <c r="S85" s="60" t="n"/>
    </row>
    <row r="86" ht="15" customHeight="1" s="34">
      <c r="A86" s="54" t="n"/>
      <c r="B86" s="54" t="n"/>
      <c r="C86" s="54" t="n"/>
      <c r="D86" s="55">
        <f>IF($A86="","",IFERROR(INDEX(Baseline!$B$20:$B$49,MATCH($C86,Baseline!$A$20:$A$49,0)),"Line not in baseline"))</f>
        <v/>
      </c>
      <c r="E86" s="55">
        <f>IF($A86="","",IFERROR(INDEX(Baseline!$C$20:$C$49,MATCH($C86,Baseline!$A$20:$A$49,0)),""))</f>
        <v/>
      </c>
      <c r="F86" s="56">
        <f>IF($A86="","",IFERROR(INDEX(Baseline!$E$20:$E$49,MATCH($C86,Baseline!$A$20:$A$49,0)),""))</f>
        <v/>
      </c>
      <c r="G86" s="57" t="n"/>
      <c r="H86" s="54" t="n"/>
      <c r="I86" s="54" t="n"/>
      <c r="J86" s="39">
        <f>IF($A86="","",IF($E86="Informational","GREEN",IF($G86="",IF($E86="Mandatory","RED","YELLOW"),IF($N86="Exact",IF(UPPER(TRIM($G86&amp;""))=UPPER(TRIM($F86&amp;"")),"GREEN",$P86),IF(NOT(ISNUMBER($G86)),$P86,IF($N86="Min",IF($G86&gt;=$F86,"GREEN",IF($G86&gt;=$F86-$O86,"YELLOW",$P86)),IF($N86="Max",IF($G86&lt;=$F86,"GREEN",IF($G86&lt;=$F86+$O86,"YELLOW",$P86)),IF($N86="Range",IF(ABS($G86-$F86)&lt;=$O86,"GREEN",$P86),"CHECK RULE"))))))))</f>
        <v/>
      </c>
      <c r="K86" s="39">
        <f>IF($A86="","",IF($H86="Non-Compliant","RED",IF(AND(OR($H86="Alternative Offer",$H86="Partially Compliant"),$J86="GREEN"),"YELLOW",IF(AND($J86="GREEN",ISNUMBER($R86),$R86&lt;Baseline!$B$9),"YELLOW",$J86))))</f>
        <v/>
      </c>
      <c r="L86" s="39">
        <f>IF($A86="","",IF($K86="GREEN","GREEN",IF(COUNTIFS(Exceptions!$B$5:$B$104,$A86,Exceptions!$C$5:$C$104,$B86,Exceptions!$D$5:$D$104,$C86,Exceptions!$G$5:$G$104,"Accepted",Exceptions!$H$5:$H$104,"&lt;&gt;")&gt;0,"CLEARED",$K86)))</f>
        <v/>
      </c>
      <c r="M86" s="39">
        <f>IF($A86="","",IF($H86="","Declaration missing",IF($H86="Not Stated","Not stated in quotation",IF(AND(ISNUMBER($R86),$R86&lt;Baseline!$B$9),"Low AI confidence - verify",IF(AND($H86="Fully Compliant",$J86&lt;&gt;"GREEN"),"Declared Fully - evidence differs","")))))</f>
        <v/>
      </c>
      <c r="N86" s="58">
        <f>IF($A86="","",IFERROR(INDEX(Baseline!$D$20:$D$49,MATCH($C86,Baseline!$A$20:$A$49,0)),""))</f>
        <v/>
      </c>
      <c r="O86" s="58">
        <f>IF($A86="","",IFERROR(INDEX(Baseline!$F$20:$F$49,MATCH($C86,Baseline!$A$20:$A$49,0)),0))</f>
        <v/>
      </c>
      <c r="P86" s="58">
        <f>IF($A86="","",IFERROR(INDEX(Baseline!$G$20:$G$49,MATCH($C86,Baseline!$A$20:$A$49,0)),"RED"))</f>
        <v/>
      </c>
      <c r="Q86" s="58">
        <f>IF($A86="","",$A86&amp;"|"&amp;$B86&amp;"|"&amp;$C86)</f>
        <v/>
      </c>
      <c r="R86" s="59" t="n"/>
      <c r="S86" s="60" t="n"/>
    </row>
    <row r="87" ht="15" customHeight="1" s="34">
      <c r="A87" s="54" t="n"/>
      <c r="B87" s="54" t="n"/>
      <c r="C87" s="54" t="n"/>
      <c r="D87" s="55">
        <f>IF($A87="","",IFERROR(INDEX(Baseline!$B$20:$B$49,MATCH($C87,Baseline!$A$20:$A$49,0)),"Line not in baseline"))</f>
        <v/>
      </c>
      <c r="E87" s="55">
        <f>IF($A87="","",IFERROR(INDEX(Baseline!$C$20:$C$49,MATCH($C87,Baseline!$A$20:$A$49,0)),""))</f>
        <v/>
      </c>
      <c r="F87" s="56">
        <f>IF($A87="","",IFERROR(INDEX(Baseline!$E$20:$E$49,MATCH($C87,Baseline!$A$20:$A$49,0)),""))</f>
        <v/>
      </c>
      <c r="G87" s="57" t="n"/>
      <c r="H87" s="54" t="n"/>
      <c r="I87" s="54" t="n"/>
      <c r="J87" s="39">
        <f>IF($A87="","",IF($E87="Informational","GREEN",IF($G87="",IF($E87="Mandatory","RED","YELLOW"),IF($N87="Exact",IF(UPPER(TRIM($G87&amp;""))=UPPER(TRIM($F87&amp;"")),"GREEN",$P87),IF(NOT(ISNUMBER($G87)),$P87,IF($N87="Min",IF($G87&gt;=$F87,"GREEN",IF($G87&gt;=$F87-$O87,"YELLOW",$P87)),IF($N87="Max",IF($G87&lt;=$F87,"GREEN",IF($G87&lt;=$F87+$O87,"YELLOW",$P87)),IF($N87="Range",IF(ABS($G87-$F87)&lt;=$O87,"GREEN",$P87),"CHECK RULE"))))))))</f>
        <v/>
      </c>
      <c r="K87" s="39">
        <f>IF($A87="","",IF($H87="Non-Compliant","RED",IF(AND(OR($H87="Alternative Offer",$H87="Partially Compliant"),$J87="GREEN"),"YELLOW",IF(AND($J87="GREEN",ISNUMBER($R87),$R87&lt;Baseline!$B$9),"YELLOW",$J87))))</f>
        <v/>
      </c>
      <c r="L87" s="39">
        <f>IF($A87="","",IF($K87="GREEN","GREEN",IF(COUNTIFS(Exceptions!$B$5:$B$104,$A87,Exceptions!$C$5:$C$104,$B87,Exceptions!$D$5:$D$104,$C87,Exceptions!$G$5:$G$104,"Accepted",Exceptions!$H$5:$H$104,"&lt;&gt;")&gt;0,"CLEARED",$K87)))</f>
        <v/>
      </c>
      <c r="M87" s="39">
        <f>IF($A87="","",IF($H87="","Declaration missing",IF($H87="Not Stated","Not stated in quotation",IF(AND(ISNUMBER($R87),$R87&lt;Baseline!$B$9),"Low AI confidence - verify",IF(AND($H87="Fully Compliant",$J87&lt;&gt;"GREEN"),"Declared Fully - evidence differs","")))))</f>
        <v/>
      </c>
      <c r="N87" s="58">
        <f>IF($A87="","",IFERROR(INDEX(Baseline!$D$20:$D$49,MATCH($C87,Baseline!$A$20:$A$49,0)),""))</f>
        <v/>
      </c>
      <c r="O87" s="58">
        <f>IF($A87="","",IFERROR(INDEX(Baseline!$F$20:$F$49,MATCH($C87,Baseline!$A$20:$A$49,0)),0))</f>
        <v/>
      </c>
      <c r="P87" s="58">
        <f>IF($A87="","",IFERROR(INDEX(Baseline!$G$20:$G$49,MATCH($C87,Baseline!$A$20:$A$49,0)),"RED"))</f>
        <v/>
      </c>
      <c r="Q87" s="58">
        <f>IF($A87="","",$A87&amp;"|"&amp;$B87&amp;"|"&amp;$C87)</f>
        <v/>
      </c>
      <c r="R87" s="59" t="n"/>
      <c r="S87" s="60" t="n"/>
    </row>
    <row r="88" ht="15" customHeight="1" s="34">
      <c r="A88" s="54" t="n"/>
      <c r="B88" s="54" t="n"/>
      <c r="C88" s="54" t="n"/>
      <c r="D88" s="55">
        <f>IF($A88="","",IFERROR(INDEX(Baseline!$B$20:$B$49,MATCH($C88,Baseline!$A$20:$A$49,0)),"Line not in baseline"))</f>
        <v/>
      </c>
      <c r="E88" s="55">
        <f>IF($A88="","",IFERROR(INDEX(Baseline!$C$20:$C$49,MATCH($C88,Baseline!$A$20:$A$49,0)),""))</f>
        <v/>
      </c>
      <c r="F88" s="56">
        <f>IF($A88="","",IFERROR(INDEX(Baseline!$E$20:$E$49,MATCH($C88,Baseline!$A$20:$A$49,0)),""))</f>
        <v/>
      </c>
      <c r="G88" s="57" t="n"/>
      <c r="H88" s="54" t="n"/>
      <c r="I88" s="54" t="n"/>
      <c r="J88" s="39">
        <f>IF($A88="","",IF($E88="Informational","GREEN",IF($G88="",IF($E88="Mandatory","RED","YELLOW"),IF($N88="Exact",IF(UPPER(TRIM($G88&amp;""))=UPPER(TRIM($F88&amp;"")),"GREEN",$P88),IF(NOT(ISNUMBER($G88)),$P88,IF($N88="Min",IF($G88&gt;=$F88,"GREEN",IF($G88&gt;=$F88-$O88,"YELLOW",$P88)),IF($N88="Max",IF($G88&lt;=$F88,"GREEN",IF($G88&lt;=$F88+$O88,"YELLOW",$P88)),IF($N88="Range",IF(ABS($G88-$F88)&lt;=$O88,"GREEN",$P88),"CHECK RULE"))))))))</f>
        <v/>
      </c>
      <c r="K88" s="39">
        <f>IF($A88="","",IF($H88="Non-Compliant","RED",IF(AND(OR($H88="Alternative Offer",$H88="Partially Compliant"),$J88="GREEN"),"YELLOW",IF(AND($J88="GREEN",ISNUMBER($R88),$R88&lt;Baseline!$B$9),"YELLOW",$J88))))</f>
        <v/>
      </c>
      <c r="L88" s="39">
        <f>IF($A88="","",IF($K88="GREEN","GREEN",IF(COUNTIFS(Exceptions!$B$5:$B$104,$A88,Exceptions!$C$5:$C$104,$B88,Exceptions!$D$5:$D$104,$C88,Exceptions!$G$5:$G$104,"Accepted",Exceptions!$H$5:$H$104,"&lt;&gt;")&gt;0,"CLEARED",$K88)))</f>
        <v/>
      </c>
      <c r="M88" s="39">
        <f>IF($A88="","",IF($H88="","Declaration missing",IF($H88="Not Stated","Not stated in quotation",IF(AND(ISNUMBER($R88),$R88&lt;Baseline!$B$9),"Low AI confidence - verify",IF(AND($H88="Fully Compliant",$J88&lt;&gt;"GREEN"),"Declared Fully - evidence differs","")))))</f>
        <v/>
      </c>
      <c r="N88" s="58">
        <f>IF($A88="","",IFERROR(INDEX(Baseline!$D$20:$D$49,MATCH($C88,Baseline!$A$20:$A$49,0)),""))</f>
        <v/>
      </c>
      <c r="O88" s="58">
        <f>IF($A88="","",IFERROR(INDEX(Baseline!$F$20:$F$49,MATCH($C88,Baseline!$A$20:$A$49,0)),0))</f>
        <v/>
      </c>
      <c r="P88" s="58">
        <f>IF($A88="","",IFERROR(INDEX(Baseline!$G$20:$G$49,MATCH($C88,Baseline!$A$20:$A$49,0)),"RED"))</f>
        <v/>
      </c>
      <c r="Q88" s="58">
        <f>IF($A88="","",$A88&amp;"|"&amp;$B88&amp;"|"&amp;$C88)</f>
        <v/>
      </c>
      <c r="R88" s="59" t="n"/>
      <c r="S88" s="60" t="n"/>
    </row>
    <row r="89" ht="15" customHeight="1" s="34">
      <c r="A89" s="54" t="n"/>
      <c r="B89" s="54" t="n"/>
      <c r="C89" s="54" t="n"/>
      <c r="D89" s="55">
        <f>IF($A89="","",IFERROR(INDEX(Baseline!$B$20:$B$49,MATCH($C89,Baseline!$A$20:$A$49,0)),"Line not in baseline"))</f>
        <v/>
      </c>
      <c r="E89" s="55">
        <f>IF($A89="","",IFERROR(INDEX(Baseline!$C$20:$C$49,MATCH($C89,Baseline!$A$20:$A$49,0)),""))</f>
        <v/>
      </c>
      <c r="F89" s="56">
        <f>IF($A89="","",IFERROR(INDEX(Baseline!$E$20:$E$49,MATCH($C89,Baseline!$A$20:$A$49,0)),""))</f>
        <v/>
      </c>
      <c r="G89" s="57" t="n"/>
      <c r="H89" s="54" t="n"/>
      <c r="I89" s="54" t="n"/>
      <c r="J89" s="39">
        <f>IF($A89="","",IF($E89="Informational","GREEN",IF($G89="",IF($E89="Mandatory","RED","YELLOW"),IF($N89="Exact",IF(UPPER(TRIM($G89&amp;""))=UPPER(TRIM($F89&amp;"")),"GREEN",$P89),IF(NOT(ISNUMBER($G89)),$P89,IF($N89="Min",IF($G89&gt;=$F89,"GREEN",IF($G89&gt;=$F89-$O89,"YELLOW",$P89)),IF($N89="Max",IF($G89&lt;=$F89,"GREEN",IF($G89&lt;=$F89+$O89,"YELLOW",$P89)),IF($N89="Range",IF(ABS($G89-$F89)&lt;=$O89,"GREEN",$P89),"CHECK RULE"))))))))</f>
        <v/>
      </c>
      <c r="K89" s="39">
        <f>IF($A89="","",IF($H89="Non-Compliant","RED",IF(AND(OR($H89="Alternative Offer",$H89="Partially Compliant"),$J89="GREEN"),"YELLOW",IF(AND($J89="GREEN",ISNUMBER($R89),$R89&lt;Baseline!$B$9),"YELLOW",$J89))))</f>
        <v/>
      </c>
      <c r="L89" s="39">
        <f>IF($A89="","",IF($K89="GREEN","GREEN",IF(COUNTIFS(Exceptions!$B$5:$B$104,$A89,Exceptions!$C$5:$C$104,$B89,Exceptions!$D$5:$D$104,$C89,Exceptions!$G$5:$G$104,"Accepted",Exceptions!$H$5:$H$104,"&lt;&gt;")&gt;0,"CLEARED",$K89)))</f>
        <v/>
      </c>
      <c r="M89" s="39">
        <f>IF($A89="","",IF($H89="","Declaration missing",IF($H89="Not Stated","Not stated in quotation",IF(AND(ISNUMBER($R89),$R89&lt;Baseline!$B$9),"Low AI confidence - verify",IF(AND($H89="Fully Compliant",$J89&lt;&gt;"GREEN"),"Declared Fully - evidence differs","")))))</f>
        <v/>
      </c>
      <c r="N89" s="58">
        <f>IF($A89="","",IFERROR(INDEX(Baseline!$D$20:$D$49,MATCH($C89,Baseline!$A$20:$A$49,0)),""))</f>
        <v/>
      </c>
      <c r="O89" s="58">
        <f>IF($A89="","",IFERROR(INDEX(Baseline!$F$20:$F$49,MATCH($C89,Baseline!$A$20:$A$49,0)),0))</f>
        <v/>
      </c>
      <c r="P89" s="58">
        <f>IF($A89="","",IFERROR(INDEX(Baseline!$G$20:$G$49,MATCH($C89,Baseline!$A$20:$A$49,0)),"RED"))</f>
        <v/>
      </c>
      <c r="Q89" s="58">
        <f>IF($A89="","",$A89&amp;"|"&amp;$B89&amp;"|"&amp;$C89)</f>
        <v/>
      </c>
      <c r="R89" s="59" t="n"/>
      <c r="S89" s="60" t="n"/>
    </row>
    <row r="90" ht="15" customHeight="1" s="34">
      <c r="A90" s="54" t="n"/>
      <c r="B90" s="54" t="n"/>
      <c r="C90" s="54" t="n"/>
      <c r="D90" s="55">
        <f>IF($A90="","",IFERROR(INDEX(Baseline!$B$20:$B$49,MATCH($C90,Baseline!$A$20:$A$49,0)),"Line not in baseline"))</f>
        <v/>
      </c>
      <c r="E90" s="55">
        <f>IF($A90="","",IFERROR(INDEX(Baseline!$C$20:$C$49,MATCH($C90,Baseline!$A$20:$A$49,0)),""))</f>
        <v/>
      </c>
      <c r="F90" s="56">
        <f>IF($A90="","",IFERROR(INDEX(Baseline!$E$20:$E$49,MATCH($C90,Baseline!$A$20:$A$49,0)),""))</f>
        <v/>
      </c>
      <c r="G90" s="57" t="n"/>
      <c r="H90" s="54" t="n"/>
      <c r="I90" s="54" t="n"/>
      <c r="J90" s="39">
        <f>IF($A90="","",IF($E90="Informational","GREEN",IF($G90="",IF($E90="Mandatory","RED","YELLOW"),IF($N90="Exact",IF(UPPER(TRIM($G90&amp;""))=UPPER(TRIM($F90&amp;"")),"GREEN",$P90),IF(NOT(ISNUMBER($G90)),$P90,IF($N90="Min",IF($G90&gt;=$F90,"GREEN",IF($G90&gt;=$F90-$O90,"YELLOW",$P90)),IF($N90="Max",IF($G90&lt;=$F90,"GREEN",IF($G90&lt;=$F90+$O90,"YELLOW",$P90)),IF($N90="Range",IF(ABS($G90-$F90)&lt;=$O90,"GREEN",$P90),"CHECK RULE"))))))))</f>
        <v/>
      </c>
      <c r="K90" s="39">
        <f>IF($A90="","",IF($H90="Non-Compliant","RED",IF(AND(OR($H90="Alternative Offer",$H90="Partially Compliant"),$J90="GREEN"),"YELLOW",IF(AND($J90="GREEN",ISNUMBER($R90),$R90&lt;Baseline!$B$9),"YELLOW",$J90))))</f>
        <v/>
      </c>
      <c r="L90" s="39">
        <f>IF($A90="","",IF($K90="GREEN","GREEN",IF(COUNTIFS(Exceptions!$B$5:$B$104,$A90,Exceptions!$C$5:$C$104,$B90,Exceptions!$D$5:$D$104,$C90,Exceptions!$G$5:$G$104,"Accepted",Exceptions!$H$5:$H$104,"&lt;&gt;")&gt;0,"CLEARED",$K90)))</f>
        <v/>
      </c>
      <c r="M90" s="39">
        <f>IF($A90="","",IF($H90="","Declaration missing",IF($H90="Not Stated","Not stated in quotation",IF(AND(ISNUMBER($R90),$R90&lt;Baseline!$B$9),"Low AI confidence - verify",IF(AND($H90="Fully Compliant",$J90&lt;&gt;"GREEN"),"Declared Fully - evidence differs","")))))</f>
        <v/>
      </c>
      <c r="N90" s="58">
        <f>IF($A90="","",IFERROR(INDEX(Baseline!$D$20:$D$49,MATCH($C90,Baseline!$A$20:$A$49,0)),""))</f>
        <v/>
      </c>
      <c r="O90" s="58">
        <f>IF($A90="","",IFERROR(INDEX(Baseline!$F$20:$F$49,MATCH($C90,Baseline!$A$20:$A$49,0)),0))</f>
        <v/>
      </c>
      <c r="P90" s="58">
        <f>IF($A90="","",IFERROR(INDEX(Baseline!$G$20:$G$49,MATCH($C90,Baseline!$A$20:$A$49,0)),"RED"))</f>
        <v/>
      </c>
      <c r="Q90" s="58">
        <f>IF($A90="","",$A90&amp;"|"&amp;$B90&amp;"|"&amp;$C90)</f>
        <v/>
      </c>
      <c r="R90" s="59" t="n"/>
      <c r="S90" s="60" t="n"/>
    </row>
    <row r="91" ht="15" customHeight="1" s="34">
      <c r="A91" s="54" t="n"/>
      <c r="B91" s="54" t="n"/>
      <c r="C91" s="54" t="n"/>
      <c r="D91" s="55">
        <f>IF($A91="","",IFERROR(INDEX(Baseline!$B$20:$B$49,MATCH($C91,Baseline!$A$20:$A$49,0)),"Line not in baseline"))</f>
        <v/>
      </c>
      <c r="E91" s="55">
        <f>IF($A91="","",IFERROR(INDEX(Baseline!$C$20:$C$49,MATCH($C91,Baseline!$A$20:$A$49,0)),""))</f>
        <v/>
      </c>
      <c r="F91" s="56">
        <f>IF($A91="","",IFERROR(INDEX(Baseline!$E$20:$E$49,MATCH($C91,Baseline!$A$20:$A$49,0)),""))</f>
        <v/>
      </c>
      <c r="G91" s="57" t="n"/>
      <c r="H91" s="54" t="n"/>
      <c r="I91" s="54" t="n"/>
      <c r="J91" s="39">
        <f>IF($A91="","",IF($E91="Informational","GREEN",IF($G91="",IF($E91="Mandatory","RED","YELLOW"),IF($N91="Exact",IF(UPPER(TRIM($G91&amp;""))=UPPER(TRIM($F91&amp;"")),"GREEN",$P91),IF(NOT(ISNUMBER($G91)),$P91,IF($N91="Min",IF($G91&gt;=$F91,"GREEN",IF($G91&gt;=$F91-$O91,"YELLOW",$P91)),IF($N91="Max",IF($G91&lt;=$F91,"GREEN",IF($G91&lt;=$F91+$O91,"YELLOW",$P91)),IF($N91="Range",IF(ABS($G91-$F91)&lt;=$O91,"GREEN",$P91),"CHECK RULE"))))))))</f>
        <v/>
      </c>
      <c r="K91" s="39">
        <f>IF($A91="","",IF($H91="Non-Compliant","RED",IF(AND(OR($H91="Alternative Offer",$H91="Partially Compliant"),$J91="GREEN"),"YELLOW",IF(AND($J91="GREEN",ISNUMBER($R91),$R91&lt;Baseline!$B$9),"YELLOW",$J91))))</f>
        <v/>
      </c>
      <c r="L91" s="39">
        <f>IF($A91="","",IF($K91="GREEN","GREEN",IF(COUNTIFS(Exceptions!$B$5:$B$104,$A91,Exceptions!$C$5:$C$104,$B91,Exceptions!$D$5:$D$104,$C91,Exceptions!$G$5:$G$104,"Accepted",Exceptions!$H$5:$H$104,"&lt;&gt;")&gt;0,"CLEARED",$K91)))</f>
        <v/>
      </c>
      <c r="M91" s="39">
        <f>IF($A91="","",IF($H91="","Declaration missing",IF($H91="Not Stated","Not stated in quotation",IF(AND(ISNUMBER($R91),$R91&lt;Baseline!$B$9),"Low AI confidence - verify",IF(AND($H91="Fully Compliant",$J91&lt;&gt;"GREEN"),"Declared Fully - evidence differs","")))))</f>
        <v/>
      </c>
      <c r="N91" s="58">
        <f>IF($A91="","",IFERROR(INDEX(Baseline!$D$20:$D$49,MATCH($C91,Baseline!$A$20:$A$49,0)),""))</f>
        <v/>
      </c>
      <c r="O91" s="58">
        <f>IF($A91="","",IFERROR(INDEX(Baseline!$F$20:$F$49,MATCH($C91,Baseline!$A$20:$A$49,0)),0))</f>
        <v/>
      </c>
      <c r="P91" s="58">
        <f>IF($A91="","",IFERROR(INDEX(Baseline!$G$20:$G$49,MATCH($C91,Baseline!$A$20:$A$49,0)),"RED"))</f>
        <v/>
      </c>
      <c r="Q91" s="58">
        <f>IF($A91="","",$A91&amp;"|"&amp;$B91&amp;"|"&amp;$C91)</f>
        <v/>
      </c>
      <c r="R91" s="59" t="n"/>
      <c r="S91" s="60" t="n"/>
    </row>
    <row r="92" ht="15" customHeight="1" s="34">
      <c r="A92" s="54" t="n"/>
      <c r="B92" s="54" t="n"/>
      <c r="C92" s="54" t="n"/>
      <c r="D92" s="55">
        <f>IF($A92="","",IFERROR(INDEX(Baseline!$B$20:$B$49,MATCH($C92,Baseline!$A$20:$A$49,0)),"Line not in baseline"))</f>
        <v/>
      </c>
      <c r="E92" s="55">
        <f>IF($A92="","",IFERROR(INDEX(Baseline!$C$20:$C$49,MATCH($C92,Baseline!$A$20:$A$49,0)),""))</f>
        <v/>
      </c>
      <c r="F92" s="56">
        <f>IF($A92="","",IFERROR(INDEX(Baseline!$E$20:$E$49,MATCH($C92,Baseline!$A$20:$A$49,0)),""))</f>
        <v/>
      </c>
      <c r="G92" s="57" t="n"/>
      <c r="H92" s="54" t="n"/>
      <c r="I92" s="54" t="n"/>
      <c r="J92" s="39">
        <f>IF($A92="","",IF($E92="Informational","GREEN",IF($G92="",IF($E92="Mandatory","RED","YELLOW"),IF($N92="Exact",IF(UPPER(TRIM($G92&amp;""))=UPPER(TRIM($F92&amp;"")),"GREEN",$P92),IF(NOT(ISNUMBER($G92)),$P92,IF($N92="Min",IF($G92&gt;=$F92,"GREEN",IF($G92&gt;=$F92-$O92,"YELLOW",$P92)),IF($N92="Max",IF($G92&lt;=$F92,"GREEN",IF($G92&lt;=$F92+$O92,"YELLOW",$P92)),IF($N92="Range",IF(ABS($G92-$F92)&lt;=$O92,"GREEN",$P92),"CHECK RULE"))))))))</f>
        <v/>
      </c>
      <c r="K92" s="39">
        <f>IF($A92="","",IF($H92="Non-Compliant","RED",IF(AND(OR($H92="Alternative Offer",$H92="Partially Compliant"),$J92="GREEN"),"YELLOW",IF(AND($J92="GREEN",ISNUMBER($R92),$R92&lt;Baseline!$B$9),"YELLOW",$J92))))</f>
        <v/>
      </c>
      <c r="L92" s="39">
        <f>IF($A92="","",IF($K92="GREEN","GREEN",IF(COUNTIFS(Exceptions!$B$5:$B$104,$A92,Exceptions!$C$5:$C$104,$B92,Exceptions!$D$5:$D$104,$C92,Exceptions!$G$5:$G$104,"Accepted",Exceptions!$H$5:$H$104,"&lt;&gt;")&gt;0,"CLEARED",$K92)))</f>
        <v/>
      </c>
      <c r="M92" s="39">
        <f>IF($A92="","",IF($H92="","Declaration missing",IF($H92="Not Stated","Not stated in quotation",IF(AND(ISNUMBER($R92),$R92&lt;Baseline!$B$9),"Low AI confidence - verify",IF(AND($H92="Fully Compliant",$J92&lt;&gt;"GREEN"),"Declared Fully - evidence differs","")))))</f>
        <v/>
      </c>
      <c r="N92" s="58">
        <f>IF($A92="","",IFERROR(INDEX(Baseline!$D$20:$D$49,MATCH($C92,Baseline!$A$20:$A$49,0)),""))</f>
        <v/>
      </c>
      <c r="O92" s="58">
        <f>IF($A92="","",IFERROR(INDEX(Baseline!$F$20:$F$49,MATCH($C92,Baseline!$A$20:$A$49,0)),0))</f>
        <v/>
      </c>
      <c r="P92" s="58">
        <f>IF($A92="","",IFERROR(INDEX(Baseline!$G$20:$G$49,MATCH($C92,Baseline!$A$20:$A$49,0)),"RED"))</f>
        <v/>
      </c>
      <c r="Q92" s="58">
        <f>IF($A92="","",$A92&amp;"|"&amp;$B92&amp;"|"&amp;$C92)</f>
        <v/>
      </c>
      <c r="R92" s="59" t="n"/>
      <c r="S92" s="60" t="n"/>
    </row>
    <row r="93" ht="15" customHeight="1" s="34">
      <c r="A93" s="54" t="n"/>
      <c r="B93" s="54" t="n"/>
      <c r="C93" s="54" t="n"/>
      <c r="D93" s="55">
        <f>IF($A93="","",IFERROR(INDEX(Baseline!$B$20:$B$49,MATCH($C93,Baseline!$A$20:$A$49,0)),"Line not in baseline"))</f>
        <v/>
      </c>
      <c r="E93" s="55">
        <f>IF($A93="","",IFERROR(INDEX(Baseline!$C$20:$C$49,MATCH($C93,Baseline!$A$20:$A$49,0)),""))</f>
        <v/>
      </c>
      <c r="F93" s="56">
        <f>IF($A93="","",IFERROR(INDEX(Baseline!$E$20:$E$49,MATCH($C93,Baseline!$A$20:$A$49,0)),""))</f>
        <v/>
      </c>
      <c r="G93" s="57" t="n"/>
      <c r="H93" s="54" t="n"/>
      <c r="I93" s="54" t="n"/>
      <c r="J93" s="39">
        <f>IF($A93="","",IF($E93="Informational","GREEN",IF($G93="",IF($E93="Mandatory","RED","YELLOW"),IF($N93="Exact",IF(UPPER(TRIM($G93&amp;""))=UPPER(TRIM($F93&amp;"")),"GREEN",$P93),IF(NOT(ISNUMBER($G93)),$P93,IF($N93="Min",IF($G93&gt;=$F93,"GREEN",IF($G93&gt;=$F93-$O93,"YELLOW",$P93)),IF($N93="Max",IF($G93&lt;=$F93,"GREEN",IF($G93&lt;=$F93+$O93,"YELLOW",$P93)),IF($N93="Range",IF(ABS($G93-$F93)&lt;=$O93,"GREEN",$P93),"CHECK RULE"))))))))</f>
        <v/>
      </c>
      <c r="K93" s="39">
        <f>IF($A93="","",IF($H93="Non-Compliant","RED",IF(AND(OR($H93="Alternative Offer",$H93="Partially Compliant"),$J93="GREEN"),"YELLOW",IF(AND($J93="GREEN",ISNUMBER($R93),$R93&lt;Baseline!$B$9),"YELLOW",$J93))))</f>
        <v/>
      </c>
      <c r="L93" s="39">
        <f>IF($A93="","",IF($K93="GREEN","GREEN",IF(COUNTIFS(Exceptions!$B$5:$B$104,$A93,Exceptions!$C$5:$C$104,$B93,Exceptions!$D$5:$D$104,$C93,Exceptions!$G$5:$G$104,"Accepted",Exceptions!$H$5:$H$104,"&lt;&gt;")&gt;0,"CLEARED",$K93)))</f>
        <v/>
      </c>
      <c r="M93" s="39">
        <f>IF($A93="","",IF($H93="","Declaration missing",IF($H93="Not Stated","Not stated in quotation",IF(AND(ISNUMBER($R93),$R93&lt;Baseline!$B$9),"Low AI confidence - verify",IF(AND($H93="Fully Compliant",$J93&lt;&gt;"GREEN"),"Declared Fully - evidence differs","")))))</f>
        <v/>
      </c>
      <c r="N93" s="58">
        <f>IF($A93="","",IFERROR(INDEX(Baseline!$D$20:$D$49,MATCH($C93,Baseline!$A$20:$A$49,0)),""))</f>
        <v/>
      </c>
      <c r="O93" s="58">
        <f>IF($A93="","",IFERROR(INDEX(Baseline!$F$20:$F$49,MATCH($C93,Baseline!$A$20:$A$49,0)),0))</f>
        <v/>
      </c>
      <c r="P93" s="58">
        <f>IF($A93="","",IFERROR(INDEX(Baseline!$G$20:$G$49,MATCH($C93,Baseline!$A$20:$A$49,0)),"RED"))</f>
        <v/>
      </c>
      <c r="Q93" s="58">
        <f>IF($A93="","",$A93&amp;"|"&amp;$B93&amp;"|"&amp;$C93)</f>
        <v/>
      </c>
      <c r="R93" s="59" t="n"/>
      <c r="S93" s="60" t="n"/>
    </row>
    <row r="94" ht="15" customHeight="1" s="34">
      <c r="A94" s="54" t="n"/>
      <c r="B94" s="54" t="n"/>
      <c r="C94" s="54" t="n"/>
      <c r="D94" s="55">
        <f>IF($A94="","",IFERROR(INDEX(Baseline!$B$20:$B$49,MATCH($C94,Baseline!$A$20:$A$49,0)),"Line not in baseline"))</f>
        <v/>
      </c>
      <c r="E94" s="55">
        <f>IF($A94="","",IFERROR(INDEX(Baseline!$C$20:$C$49,MATCH($C94,Baseline!$A$20:$A$49,0)),""))</f>
        <v/>
      </c>
      <c r="F94" s="56">
        <f>IF($A94="","",IFERROR(INDEX(Baseline!$E$20:$E$49,MATCH($C94,Baseline!$A$20:$A$49,0)),""))</f>
        <v/>
      </c>
      <c r="G94" s="57" t="n"/>
      <c r="H94" s="54" t="n"/>
      <c r="I94" s="54" t="n"/>
      <c r="J94" s="39">
        <f>IF($A94="","",IF($E94="Informational","GREEN",IF($G94="",IF($E94="Mandatory","RED","YELLOW"),IF($N94="Exact",IF(UPPER(TRIM($G94&amp;""))=UPPER(TRIM($F94&amp;"")),"GREEN",$P94),IF(NOT(ISNUMBER($G94)),$P94,IF($N94="Min",IF($G94&gt;=$F94,"GREEN",IF($G94&gt;=$F94-$O94,"YELLOW",$P94)),IF($N94="Max",IF($G94&lt;=$F94,"GREEN",IF($G94&lt;=$F94+$O94,"YELLOW",$P94)),IF($N94="Range",IF(ABS($G94-$F94)&lt;=$O94,"GREEN",$P94),"CHECK RULE"))))))))</f>
        <v/>
      </c>
      <c r="K94" s="39">
        <f>IF($A94="","",IF($H94="Non-Compliant","RED",IF(AND(OR($H94="Alternative Offer",$H94="Partially Compliant"),$J94="GREEN"),"YELLOW",IF(AND($J94="GREEN",ISNUMBER($R94),$R94&lt;Baseline!$B$9),"YELLOW",$J94))))</f>
        <v/>
      </c>
      <c r="L94" s="39">
        <f>IF($A94="","",IF($K94="GREEN","GREEN",IF(COUNTIFS(Exceptions!$B$5:$B$104,$A94,Exceptions!$C$5:$C$104,$B94,Exceptions!$D$5:$D$104,$C94,Exceptions!$G$5:$G$104,"Accepted",Exceptions!$H$5:$H$104,"&lt;&gt;")&gt;0,"CLEARED",$K94)))</f>
        <v/>
      </c>
      <c r="M94" s="39">
        <f>IF($A94="","",IF($H94="","Declaration missing",IF($H94="Not Stated","Not stated in quotation",IF(AND(ISNUMBER($R94),$R94&lt;Baseline!$B$9),"Low AI confidence - verify",IF(AND($H94="Fully Compliant",$J94&lt;&gt;"GREEN"),"Declared Fully - evidence differs","")))))</f>
        <v/>
      </c>
      <c r="N94" s="58">
        <f>IF($A94="","",IFERROR(INDEX(Baseline!$D$20:$D$49,MATCH($C94,Baseline!$A$20:$A$49,0)),""))</f>
        <v/>
      </c>
      <c r="O94" s="58">
        <f>IF($A94="","",IFERROR(INDEX(Baseline!$F$20:$F$49,MATCH($C94,Baseline!$A$20:$A$49,0)),0))</f>
        <v/>
      </c>
      <c r="P94" s="58">
        <f>IF($A94="","",IFERROR(INDEX(Baseline!$G$20:$G$49,MATCH($C94,Baseline!$A$20:$A$49,0)),"RED"))</f>
        <v/>
      </c>
      <c r="Q94" s="58">
        <f>IF($A94="","",$A94&amp;"|"&amp;$B94&amp;"|"&amp;$C94)</f>
        <v/>
      </c>
      <c r="R94" s="59" t="n"/>
      <c r="S94" s="60" t="n"/>
    </row>
    <row r="95" ht="15" customHeight="1" s="34">
      <c r="A95" s="54" t="n"/>
      <c r="B95" s="54" t="n"/>
      <c r="C95" s="54" t="n"/>
      <c r="D95" s="55">
        <f>IF($A95="","",IFERROR(INDEX(Baseline!$B$20:$B$49,MATCH($C95,Baseline!$A$20:$A$49,0)),"Line not in baseline"))</f>
        <v/>
      </c>
      <c r="E95" s="55">
        <f>IF($A95="","",IFERROR(INDEX(Baseline!$C$20:$C$49,MATCH($C95,Baseline!$A$20:$A$49,0)),""))</f>
        <v/>
      </c>
      <c r="F95" s="56">
        <f>IF($A95="","",IFERROR(INDEX(Baseline!$E$20:$E$49,MATCH($C95,Baseline!$A$20:$A$49,0)),""))</f>
        <v/>
      </c>
      <c r="G95" s="57" t="n"/>
      <c r="H95" s="54" t="n"/>
      <c r="I95" s="54" t="n"/>
      <c r="J95" s="39">
        <f>IF($A95="","",IF($E95="Informational","GREEN",IF($G95="",IF($E95="Mandatory","RED","YELLOW"),IF($N95="Exact",IF(UPPER(TRIM($G95&amp;""))=UPPER(TRIM($F95&amp;"")),"GREEN",$P95),IF(NOT(ISNUMBER($G95)),$P95,IF($N95="Min",IF($G95&gt;=$F95,"GREEN",IF($G95&gt;=$F95-$O95,"YELLOW",$P95)),IF($N95="Max",IF($G95&lt;=$F95,"GREEN",IF($G95&lt;=$F95+$O95,"YELLOW",$P95)),IF($N95="Range",IF(ABS($G95-$F95)&lt;=$O95,"GREEN",$P95),"CHECK RULE"))))))))</f>
        <v/>
      </c>
      <c r="K95" s="39">
        <f>IF($A95="","",IF($H95="Non-Compliant","RED",IF(AND(OR($H95="Alternative Offer",$H95="Partially Compliant"),$J95="GREEN"),"YELLOW",IF(AND($J95="GREEN",ISNUMBER($R95),$R95&lt;Baseline!$B$9),"YELLOW",$J95))))</f>
        <v/>
      </c>
      <c r="L95" s="39">
        <f>IF($A95="","",IF($K95="GREEN","GREEN",IF(COUNTIFS(Exceptions!$B$5:$B$104,$A95,Exceptions!$C$5:$C$104,$B95,Exceptions!$D$5:$D$104,$C95,Exceptions!$G$5:$G$104,"Accepted",Exceptions!$H$5:$H$104,"&lt;&gt;")&gt;0,"CLEARED",$K95)))</f>
        <v/>
      </c>
      <c r="M95" s="39">
        <f>IF($A95="","",IF($H95="","Declaration missing",IF($H95="Not Stated","Not stated in quotation",IF(AND(ISNUMBER($R95),$R95&lt;Baseline!$B$9),"Low AI confidence - verify",IF(AND($H95="Fully Compliant",$J95&lt;&gt;"GREEN"),"Declared Fully - evidence differs","")))))</f>
        <v/>
      </c>
      <c r="N95" s="58">
        <f>IF($A95="","",IFERROR(INDEX(Baseline!$D$20:$D$49,MATCH($C95,Baseline!$A$20:$A$49,0)),""))</f>
        <v/>
      </c>
      <c r="O95" s="58">
        <f>IF($A95="","",IFERROR(INDEX(Baseline!$F$20:$F$49,MATCH($C95,Baseline!$A$20:$A$49,0)),0))</f>
        <v/>
      </c>
      <c r="P95" s="58">
        <f>IF($A95="","",IFERROR(INDEX(Baseline!$G$20:$G$49,MATCH($C95,Baseline!$A$20:$A$49,0)),"RED"))</f>
        <v/>
      </c>
      <c r="Q95" s="58">
        <f>IF($A95="","",$A95&amp;"|"&amp;$B95&amp;"|"&amp;$C95)</f>
        <v/>
      </c>
      <c r="R95" s="59" t="n"/>
      <c r="S95" s="60" t="n"/>
    </row>
    <row r="96" ht="15" customHeight="1" s="34">
      <c r="A96" s="54" t="n"/>
      <c r="B96" s="54" t="n"/>
      <c r="C96" s="54" t="n"/>
      <c r="D96" s="55">
        <f>IF($A96="","",IFERROR(INDEX(Baseline!$B$20:$B$49,MATCH($C96,Baseline!$A$20:$A$49,0)),"Line not in baseline"))</f>
        <v/>
      </c>
      <c r="E96" s="55">
        <f>IF($A96="","",IFERROR(INDEX(Baseline!$C$20:$C$49,MATCH($C96,Baseline!$A$20:$A$49,0)),""))</f>
        <v/>
      </c>
      <c r="F96" s="56">
        <f>IF($A96="","",IFERROR(INDEX(Baseline!$E$20:$E$49,MATCH($C96,Baseline!$A$20:$A$49,0)),""))</f>
        <v/>
      </c>
      <c r="G96" s="57" t="n"/>
      <c r="H96" s="54" t="n"/>
      <c r="I96" s="54" t="n"/>
      <c r="J96" s="39">
        <f>IF($A96="","",IF($E96="Informational","GREEN",IF($G96="",IF($E96="Mandatory","RED","YELLOW"),IF($N96="Exact",IF(UPPER(TRIM($G96&amp;""))=UPPER(TRIM($F96&amp;"")),"GREEN",$P96),IF(NOT(ISNUMBER($G96)),$P96,IF($N96="Min",IF($G96&gt;=$F96,"GREEN",IF($G96&gt;=$F96-$O96,"YELLOW",$P96)),IF($N96="Max",IF($G96&lt;=$F96,"GREEN",IF($G96&lt;=$F96+$O96,"YELLOW",$P96)),IF($N96="Range",IF(ABS($G96-$F96)&lt;=$O96,"GREEN",$P96),"CHECK RULE"))))))))</f>
        <v/>
      </c>
      <c r="K96" s="39">
        <f>IF($A96="","",IF($H96="Non-Compliant","RED",IF(AND(OR($H96="Alternative Offer",$H96="Partially Compliant"),$J96="GREEN"),"YELLOW",IF(AND($J96="GREEN",ISNUMBER($R96),$R96&lt;Baseline!$B$9),"YELLOW",$J96))))</f>
        <v/>
      </c>
      <c r="L96" s="39">
        <f>IF($A96="","",IF($K96="GREEN","GREEN",IF(COUNTIFS(Exceptions!$B$5:$B$104,$A96,Exceptions!$C$5:$C$104,$B96,Exceptions!$D$5:$D$104,$C96,Exceptions!$G$5:$G$104,"Accepted",Exceptions!$H$5:$H$104,"&lt;&gt;")&gt;0,"CLEARED",$K96)))</f>
        <v/>
      </c>
      <c r="M96" s="39">
        <f>IF($A96="","",IF($H96="","Declaration missing",IF($H96="Not Stated","Not stated in quotation",IF(AND(ISNUMBER($R96),$R96&lt;Baseline!$B$9),"Low AI confidence - verify",IF(AND($H96="Fully Compliant",$J96&lt;&gt;"GREEN"),"Declared Fully - evidence differs","")))))</f>
        <v/>
      </c>
      <c r="N96" s="58">
        <f>IF($A96="","",IFERROR(INDEX(Baseline!$D$20:$D$49,MATCH($C96,Baseline!$A$20:$A$49,0)),""))</f>
        <v/>
      </c>
      <c r="O96" s="58">
        <f>IF($A96="","",IFERROR(INDEX(Baseline!$F$20:$F$49,MATCH($C96,Baseline!$A$20:$A$49,0)),0))</f>
        <v/>
      </c>
      <c r="P96" s="58">
        <f>IF($A96="","",IFERROR(INDEX(Baseline!$G$20:$G$49,MATCH($C96,Baseline!$A$20:$A$49,0)),"RED"))</f>
        <v/>
      </c>
      <c r="Q96" s="58">
        <f>IF($A96="","",$A96&amp;"|"&amp;$B96&amp;"|"&amp;$C96)</f>
        <v/>
      </c>
      <c r="R96" s="59" t="n"/>
      <c r="S96" s="60" t="n"/>
    </row>
    <row r="97" ht="15" customHeight="1" s="34">
      <c r="A97" s="54" t="n"/>
      <c r="B97" s="54" t="n"/>
      <c r="C97" s="54" t="n"/>
      <c r="D97" s="55">
        <f>IF($A97="","",IFERROR(INDEX(Baseline!$B$20:$B$49,MATCH($C97,Baseline!$A$20:$A$49,0)),"Line not in baseline"))</f>
        <v/>
      </c>
      <c r="E97" s="55">
        <f>IF($A97="","",IFERROR(INDEX(Baseline!$C$20:$C$49,MATCH($C97,Baseline!$A$20:$A$49,0)),""))</f>
        <v/>
      </c>
      <c r="F97" s="56">
        <f>IF($A97="","",IFERROR(INDEX(Baseline!$E$20:$E$49,MATCH($C97,Baseline!$A$20:$A$49,0)),""))</f>
        <v/>
      </c>
      <c r="G97" s="57" t="n"/>
      <c r="H97" s="54" t="n"/>
      <c r="I97" s="54" t="n"/>
      <c r="J97" s="39">
        <f>IF($A97="","",IF($E97="Informational","GREEN",IF($G97="",IF($E97="Mandatory","RED","YELLOW"),IF($N97="Exact",IF(UPPER(TRIM($G97&amp;""))=UPPER(TRIM($F97&amp;"")),"GREEN",$P97),IF(NOT(ISNUMBER($G97)),$P97,IF($N97="Min",IF($G97&gt;=$F97,"GREEN",IF($G97&gt;=$F97-$O97,"YELLOW",$P97)),IF($N97="Max",IF($G97&lt;=$F97,"GREEN",IF($G97&lt;=$F97+$O97,"YELLOW",$P97)),IF($N97="Range",IF(ABS($G97-$F97)&lt;=$O97,"GREEN",$P97),"CHECK RULE"))))))))</f>
        <v/>
      </c>
      <c r="K97" s="39">
        <f>IF($A97="","",IF($H97="Non-Compliant","RED",IF(AND(OR($H97="Alternative Offer",$H97="Partially Compliant"),$J97="GREEN"),"YELLOW",IF(AND($J97="GREEN",ISNUMBER($R97),$R97&lt;Baseline!$B$9),"YELLOW",$J97))))</f>
        <v/>
      </c>
      <c r="L97" s="39">
        <f>IF($A97="","",IF($K97="GREEN","GREEN",IF(COUNTIFS(Exceptions!$B$5:$B$104,$A97,Exceptions!$C$5:$C$104,$B97,Exceptions!$D$5:$D$104,$C97,Exceptions!$G$5:$G$104,"Accepted",Exceptions!$H$5:$H$104,"&lt;&gt;")&gt;0,"CLEARED",$K97)))</f>
        <v/>
      </c>
      <c r="M97" s="39">
        <f>IF($A97="","",IF($H97="","Declaration missing",IF($H97="Not Stated","Not stated in quotation",IF(AND(ISNUMBER($R97),$R97&lt;Baseline!$B$9),"Low AI confidence - verify",IF(AND($H97="Fully Compliant",$J97&lt;&gt;"GREEN"),"Declared Fully - evidence differs","")))))</f>
        <v/>
      </c>
      <c r="N97" s="58">
        <f>IF($A97="","",IFERROR(INDEX(Baseline!$D$20:$D$49,MATCH($C97,Baseline!$A$20:$A$49,0)),""))</f>
        <v/>
      </c>
      <c r="O97" s="58">
        <f>IF($A97="","",IFERROR(INDEX(Baseline!$F$20:$F$49,MATCH($C97,Baseline!$A$20:$A$49,0)),0))</f>
        <v/>
      </c>
      <c r="P97" s="58">
        <f>IF($A97="","",IFERROR(INDEX(Baseline!$G$20:$G$49,MATCH($C97,Baseline!$A$20:$A$49,0)),"RED"))</f>
        <v/>
      </c>
      <c r="Q97" s="58">
        <f>IF($A97="","",$A97&amp;"|"&amp;$B97&amp;"|"&amp;$C97)</f>
        <v/>
      </c>
      <c r="R97" s="59" t="n"/>
      <c r="S97" s="60" t="n"/>
    </row>
    <row r="98" ht="15" customHeight="1" s="34">
      <c r="A98" s="54" t="n"/>
      <c r="B98" s="54" t="n"/>
      <c r="C98" s="54" t="n"/>
      <c r="D98" s="55">
        <f>IF($A98="","",IFERROR(INDEX(Baseline!$B$20:$B$49,MATCH($C98,Baseline!$A$20:$A$49,0)),"Line not in baseline"))</f>
        <v/>
      </c>
      <c r="E98" s="55">
        <f>IF($A98="","",IFERROR(INDEX(Baseline!$C$20:$C$49,MATCH($C98,Baseline!$A$20:$A$49,0)),""))</f>
        <v/>
      </c>
      <c r="F98" s="56">
        <f>IF($A98="","",IFERROR(INDEX(Baseline!$E$20:$E$49,MATCH($C98,Baseline!$A$20:$A$49,0)),""))</f>
        <v/>
      </c>
      <c r="G98" s="57" t="n"/>
      <c r="H98" s="54" t="n"/>
      <c r="I98" s="54" t="n"/>
      <c r="J98" s="39">
        <f>IF($A98="","",IF($E98="Informational","GREEN",IF($G98="",IF($E98="Mandatory","RED","YELLOW"),IF($N98="Exact",IF(UPPER(TRIM($G98&amp;""))=UPPER(TRIM($F98&amp;"")),"GREEN",$P98),IF(NOT(ISNUMBER($G98)),$P98,IF($N98="Min",IF($G98&gt;=$F98,"GREEN",IF($G98&gt;=$F98-$O98,"YELLOW",$P98)),IF($N98="Max",IF($G98&lt;=$F98,"GREEN",IF($G98&lt;=$F98+$O98,"YELLOW",$P98)),IF($N98="Range",IF(ABS($G98-$F98)&lt;=$O98,"GREEN",$P98),"CHECK RULE"))))))))</f>
        <v/>
      </c>
      <c r="K98" s="39">
        <f>IF($A98="","",IF($H98="Non-Compliant","RED",IF(AND(OR($H98="Alternative Offer",$H98="Partially Compliant"),$J98="GREEN"),"YELLOW",IF(AND($J98="GREEN",ISNUMBER($R98),$R98&lt;Baseline!$B$9),"YELLOW",$J98))))</f>
        <v/>
      </c>
      <c r="L98" s="39">
        <f>IF($A98="","",IF($K98="GREEN","GREEN",IF(COUNTIFS(Exceptions!$B$5:$B$104,$A98,Exceptions!$C$5:$C$104,$B98,Exceptions!$D$5:$D$104,$C98,Exceptions!$G$5:$G$104,"Accepted",Exceptions!$H$5:$H$104,"&lt;&gt;")&gt;0,"CLEARED",$K98)))</f>
        <v/>
      </c>
      <c r="M98" s="39">
        <f>IF($A98="","",IF($H98="","Declaration missing",IF($H98="Not Stated","Not stated in quotation",IF(AND(ISNUMBER($R98),$R98&lt;Baseline!$B$9),"Low AI confidence - verify",IF(AND($H98="Fully Compliant",$J98&lt;&gt;"GREEN"),"Declared Fully - evidence differs","")))))</f>
        <v/>
      </c>
      <c r="N98" s="58">
        <f>IF($A98="","",IFERROR(INDEX(Baseline!$D$20:$D$49,MATCH($C98,Baseline!$A$20:$A$49,0)),""))</f>
        <v/>
      </c>
      <c r="O98" s="58">
        <f>IF($A98="","",IFERROR(INDEX(Baseline!$F$20:$F$49,MATCH($C98,Baseline!$A$20:$A$49,0)),0))</f>
        <v/>
      </c>
      <c r="P98" s="58">
        <f>IF($A98="","",IFERROR(INDEX(Baseline!$G$20:$G$49,MATCH($C98,Baseline!$A$20:$A$49,0)),"RED"))</f>
        <v/>
      </c>
      <c r="Q98" s="58">
        <f>IF($A98="","",$A98&amp;"|"&amp;$B98&amp;"|"&amp;$C98)</f>
        <v/>
      </c>
      <c r="R98" s="59" t="n"/>
      <c r="S98" s="60" t="n"/>
    </row>
    <row r="99" ht="15" customHeight="1" s="34">
      <c r="A99" s="54" t="n"/>
      <c r="B99" s="54" t="n"/>
      <c r="C99" s="54" t="n"/>
      <c r="D99" s="55">
        <f>IF($A99="","",IFERROR(INDEX(Baseline!$B$20:$B$49,MATCH($C99,Baseline!$A$20:$A$49,0)),"Line not in baseline"))</f>
        <v/>
      </c>
      <c r="E99" s="55">
        <f>IF($A99="","",IFERROR(INDEX(Baseline!$C$20:$C$49,MATCH($C99,Baseline!$A$20:$A$49,0)),""))</f>
        <v/>
      </c>
      <c r="F99" s="56">
        <f>IF($A99="","",IFERROR(INDEX(Baseline!$E$20:$E$49,MATCH($C99,Baseline!$A$20:$A$49,0)),""))</f>
        <v/>
      </c>
      <c r="G99" s="57" t="n"/>
      <c r="H99" s="54" t="n"/>
      <c r="I99" s="54" t="n"/>
      <c r="J99" s="39">
        <f>IF($A99="","",IF($E99="Informational","GREEN",IF($G99="",IF($E99="Mandatory","RED","YELLOW"),IF($N99="Exact",IF(UPPER(TRIM($G99&amp;""))=UPPER(TRIM($F99&amp;"")),"GREEN",$P99),IF(NOT(ISNUMBER($G99)),$P99,IF($N99="Min",IF($G99&gt;=$F99,"GREEN",IF($G99&gt;=$F99-$O99,"YELLOW",$P99)),IF($N99="Max",IF($G99&lt;=$F99,"GREEN",IF($G99&lt;=$F99+$O99,"YELLOW",$P99)),IF($N99="Range",IF(ABS($G99-$F99)&lt;=$O99,"GREEN",$P99),"CHECK RULE"))))))))</f>
        <v/>
      </c>
      <c r="K99" s="39">
        <f>IF($A99="","",IF($H99="Non-Compliant","RED",IF(AND(OR($H99="Alternative Offer",$H99="Partially Compliant"),$J99="GREEN"),"YELLOW",IF(AND($J99="GREEN",ISNUMBER($R99),$R99&lt;Baseline!$B$9),"YELLOW",$J99))))</f>
        <v/>
      </c>
      <c r="L99" s="39">
        <f>IF($A99="","",IF($K99="GREEN","GREEN",IF(COUNTIFS(Exceptions!$B$5:$B$104,$A99,Exceptions!$C$5:$C$104,$B99,Exceptions!$D$5:$D$104,$C99,Exceptions!$G$5:$G$104,"Accepted",Exceptions!$H$5:$H$104,"&lt;&gt;")&gt;0,"CLEARED",$K99)))</f>
        <v/>
      </c>
      <c r="M99" s="39">
        <f>IF($A99="","",IF($H99="","Declaration missing",IF($H99="Not Stated","Not stated in quotation",IF(AND(ISNUMBER($R99),$R99&lt;Baseline!$B$9),"Low AI confidence - verify",IF(AND($H99="Fully Compliant",$J99&lt;&gt;"GREEN"),"Declared Fully - evidence differs","")))))</f>
        <v/>
      </c>
      <c r="N99" s="58">
        <f>IF($A99="","",IFERROR(INDEX(Baseline!$D$20:$D$49,MATCH($C99,Baseline!$A$20:$A$49,0)),""))</f>
        <v/>
      </c>
      <c r="O99" s="58">
        <f>IF($A99="","",IFERROR(INDEX(Baseline!$F$20:$F$49,MATCH($C99,Baseline!$A$20:$A$49,0)),0))</f>
        <v/>
      </c>
      <c r="P99" s="58">
        <f>IF($A99="","",IFERROR(INDEX(Baseline!$G$20:$G$49,MATCH($C99,Baseline!$A$20:$A$49,0)),"RED"))</f>
        <v/>
      </c>
      <c r="Q99" s="58">
        <f>IF($A99="","",$A99&amp;"|"&amp;$B99&amp;"|"&amp;$C99)</f>
        <v/>
      </c>
      <c r="R99" s="59" t="n"/>
      <c r="S99" s="60" t="n"/>
    </row>
    <row r="100" ht="15" customHeight="1" s="34">
      <c r="A100" s="54" t="n"/>
      <c r="B100" s="54" t="n"/>
      <c r="C100" s="54" t="n"/>
      <c r="D100" s="55">
        <f>IF($A100="","",IFERROR(INDEX(Baseline!$B$20:$B$49,MATCH($C100,Baseline!$A$20:$A$49,0)),"Line not in baseline"))</f>
        <v/>
      </c>
      <c r="E100" s="55">
        <f>IF($A100="","",IFERROR(INDEX(Baseline!$C$20:$C$49,MATCH($C100,Baseline!$A$20:$A$49,0)),""))</f>
        <v/>
      </c>
      <c r="F100" s="56">
        <f>IF($A100="","",IFERROR(INDEX(Baseline!$E$20:$E$49,MATCH($C100,Baseline!$A$20:$A$49,0)),""))</f>
        <v/>
      </c>
      <c r="G100" s="57" t="n"/>
      <c r="H100" s="54" t="n"/>
      <c r="I100" s="54" t="n"/>
      <c r="J100" s="39">
        <f>IF($A100="","",IF($E100="Informational","GREEN",IF($G100="",IF($E100="Mandatory","RED","YELLOW"),IF($N100="Exact",IF(UPPER(TRIM($G100&amp;""))=UPPER(TRIM($F100&amp;"")),"GREEN",$P100),IF(NOT(ISNUMBER($G100)),$P100,IF($N100="Min",IF($G100&gt;=$F100,"GREEN",IF($G100&gt;=$F100-$O100,"YELLOW",$P100)),IF($N100="Max",IF($G100&lt;=$F100,"GREEN",IF($G100&lt;=$F100+$O100,"YELLOW",$P100)),IF($N100="Range",IF(ABS($G100-$F100)&lt;=$O100,"GREEN",$P100),"CHECK RULE"))))))))</f>
        <v/>
      </c>
      <c r="K100" s="39">
        <f>IF($A100="","",IF($H100="Non-Compliant","RED",IF(AND(OR($H100="Alternative Offer",$H100="Partially Compliant"),$J100="GREEN"),"YELLOW",IF(AND($J100="GREEN",ISNUMBER($R100),$R100&lt;Baseline!$B$9),"YELLOW",$J100))))</f>
        <v/>
      </c>
      <c r="L100" s="39">
        <f>IF($A100="","",IF($K100="GREEN","GREEN",IF(COUNTIFS(Exceptions!$B$5:$B$104,$A100,Exceptions!$C$5:$C$104,$B100,Exceptions!$D$5:$D$104,$C100,Exceptions!$G$5:$G$104,"Accepted",Exceptions!$H$5:$H$104,"&lt;&gt;")&gt;0,"CLEARED",$K100)))</f>
        <v/>
      </c>
      <c r="M100" s="39">
        <f>IF($A100="","",IF($H100="","Declaration missing",IF($H100="Not Stated","Not stated in quotation",IF(AND(ISNUMBER($R100),$R100&lt;Baseline!$B$9),"Low AI confidence - verify",IF(AND($H100="Fully Compliant",$J100&lt;&gt;"GREEN"),"Declared Fully - evidence differs","")))))</f>
        <v/>
      </c>
      <c r="N100" s="58">
        <f>IF($A100="","",IFERROR(INDEX(Baseline!$D$20:$D$49,MATCH($C100,Baseline!$A$20:$A$49,0)),""))</f>
        <v/>
      </c>
      <c r="O100" s="58">
        <f>IF($A100="","",IFERROR(INDEX(Baseline!$F$20:$F$49,MATCH($C100,Baseline!$A$20:$A$49,0)),0))</f>
        <v/>
      </c>
      <c r="P100" s="58">
        <f>IF($A100="","",IFERROR(INDEX(Baseline!$G$20:$G$49,MATCH($C100,Baseline!$A$20:$A$49,0)),"RED"))</f>
        <v/>
      </c>
      <c r="Q100" s="58">
        <f>IF($A100="","",$A100&amp;"|"&amp;$B100&amp;"|"&amp;$C100)</f>
        <v/>
      </c>
      <c r="R100" s="59" t="n"/>
      <c r="S100" s="60" t="n"/>
    </row>
    <row r="101" ht="15" customHeight="1" s="34">
      <c r="A101" s="54" t="n"/>
      <c r="B101" s="54" t="n"/>
      <c r="C101" s="54" t="n"/>
      <c r="D101" s="55">
        <f>IF($A101="","",IFERROR(INDEX(Baseline!$B$20:$B$49,MATCH($C101,Baseline!$A$20:$A$49,0)),"Line not in baseline"))</f>
        <v/>
      </c>
      <c r="E101" s="55">
        <f>IF($A101="","",IFERROR(INDEX(Baseline!$C$20:$C$49,MATCH($C101,Baseline!$A$20:$A$49,0)),""))</f>
        <v/>
      </c>
      <c r="F101" s="56">
        <f>IF($A101="","",IFERROR(INDEX(Baseline!$E$20:$E$49,MATCH($C101,Baseline!$A$20:$A$49,0)),""))</f>
        <v/>
      </c>
      <c r="G101" s="57" t="n"/>
      <c r="H101" s="54" t="n"/>
      <c r="I101" s="54" t="n"/>
      <c r="J101" s="39">
        <f>IF($A101="","",IF($E101="Informational","GREEN",IF($G101="",IF($E101="Mandatory","RED","YELLOW"),IF($N101="Exact",IF(UPPER(TRIM($G101&amp;""))=UPPER(TRIM($F101&amp;"")),"GREEN",$P101),IF(NOT(ISNUMBER($G101)),$P101,IF($N101="Min",IF($G101&gt;=$F101,"GREEN",IF($G101&gt;=$F101-$O101,"YELLOW",$P101)),IF($N101="Max",IF($G101&lt;=$F101,"GREEN",IF($G101&lt;=$F101+$O101,"YELLOW",$P101)),IF($N101="Range",IF(ABS($G101-$F101)&lt;=$O101,"GREEN",$P101),"CHECK RULE"))))))))</f>
        <v/>
      </c>
      <c r="K101" s="39">
        <f>IF($A101="","",IF($H101="Non-Compliant","RED",IF(AND(OR($H101="Alternative Offer",$H101="Partially Compliant"),$J101="GREEN"),"YELLOW",IF(AND($J101="GREEN",ISNUMBER($R101),$R101&lt;Baseline!$B$9),"YELLOW",$J101))))</f>
        <v/>
      </c>
      <c r="L101" s="39">
        <f>IF($A101="","",IF($K101="GREEN","GREEN",IF(COUNTIFS(Exceptions!$B$5:$B$104,$A101,Exceptions!$C$5:$C$104,$B101,Exceptions!$D$5:$D$104,$C101,Exceptions!$G$5:$G$104,"Accepted",Exceptions!$H$5:$H$104,"&lt;&gt;")&gt;0,"CLEARED",$K101)))</f>
        <v/>
      </c>
      <c r="M101" s="39">
        <f>IF($A101="","",IF($H101="","Declaration missing",IF($H101="Not Stated","Not stated in quotation",IF(AND(ISNUMBER($R101),$R101&lt;Baseline!$B$9),"Low AI confidence - verify",IF(AND($H101="Fully Compliant",$J101&lt;&gt;"GREEN"),"Declared Fully - evidence differs","")))))</f>
        <v/>
      </c>
      <c r="N101" s="58">
        <f>IF($A101="","",IFERROR(INDEX(Baseline!$D$20:$D$49,MATCH($C101,Baseline!$A$20:$A$49,0)),""))</f>
        <v/>
      </c>
      <c r="O101" s="58">
        <f>IF($A101="","",IFERROR(INDEX(Baseline!$F$20:$F$49,MATCH($C101,Baseline!$A$20:$A$49,0)),0))</f>
        <v/>
      </c>
      <c r="P101" s="58">
        <f>IF($A101="","",IFERROR(INDEX(Baseline!$G$20:$G$49,MATCH($C101,Baseline!$A$20:$A$49,0)),"RED"))</f>
        <v/>
      </c>
      <c r="Q101" s="58">
        <f>IF($A101="","",$A101&amp;"|"&amp;$B101&amp;"|"&amp;$C101)</f>
        <v/>
      </c>
      <c r="R101" s="59" t="n"/>
      <c r="S101" s="60" t="n"/>
    </row>
    <row r="102" ht="15" customHeight="1" s="34">
      <c r="A102" s="54" t="n"/>
      <c r="B102" s="54" t="n"/>
      <c r="C102" s="54" t="n"/>
      <c r="D102" s="55">
        <f>IF($A102="","",IFERROR(INDEX(Baseline!$B$20:$B$49,MATCH($C102,Baseline!$A$20:$A$49,0)),"Line not in baseline"))</f>
        <v/>
      </c>
      <c r="E102" s="55">
        <f>IF($A102="","",IFERROR(INDEX(Baseline!$C$20:$C$49,MATCH($C102,Baseline!$A$20:$A$49,0)),""))</f>
        <v/>
      </c>
      <c r="F102" s="56">
        <f>IF($A102="","",IFERROR(INDEX(Baseline!$E$20:$E$49,MATCH($C102,Baseline!$A$20:$A$49,0)),""))</f>
        <v/>
      </c>
      <c r="G102" s="57" t="n"/>
      <c r="H102" s="54" t="n"/>
      <c r="I102" s="54" t="n"/>
      <c r="J102" s="39">
        <f>IF($A102="","",IF($E102="Informational","GREEN",IF($G102="",IF($E102="Mandatory","RED","YELLOW"),IF($N102="Exact",IF(UPPER(TRIM($G102&amp;""))=UPPER(TRIM($F102&amp;"")),"GREEN",$P102),IF(NOT(ISNUMBER($G102)),$P102,IF($N102="Min",IF($G102&gt;=$F102,"GREEN",IF($G102&gt;=$F102-$O102,"YELLOW",$P102)),IF($N102="Max",IF($G102&lt;=$F102,"GREEN",IF($G102&lt;=$F102+$O102,"YELLOW",$P102)),IF($N102="Range",IF(ABS($G102-$F102)&lt;=$O102,"GREEN",$P102),"CHECK RULE"))))))))</f>
        <v/>
      </c>
      <c r="K102" s="39">
        <f>IF($A102="","",IF($H102="Non-Compliant","RED",IF(AND(OR($H102="Alternative Offer",$H102="Partially Compliant"),$J102="GREEN"),"YELLOW",IF(AND($J102="GREEN",ISNUMBER($R102),$R102&lt;Baseline!$B$9),"YELLOW",$J102))))</f>
        <v/>
      </c>
      <c r="L102" s="39">
        <f>IF($A102="","",IF($K102="GREEN","GREEN",IF(COUNTIFS(Exceptions!$B$5:$B$104,$A102,Exceptions!$C$5:$C$104,$B102,Exceptions!$D$5:$D$104,$C102,Exceptions!$G$5:$G$104,"Accepted",Exceptions!$H$5:$H$104,"&lt;&gt;")&gt;0,"CLEARED",$K102)))</f>
        <v/>
      </c>
      <c r="M102" s="39">
        <f>IF($A102="","",IF($H102="","Declaration missing",IF($H102="Not Stated","Not stated in quotation",IF(AND(ISNUMBER($R102),$R102&lt;Baseline!$B$9),"Low AI confidence - verify",IF(AND($H102="Fully Compliant",$J102&lt;&gt;"GREEN"),"Declared Fully - evidence differs","")))))</f>
        <v/>
      </c>
      <c r="N102" s="58">
        <f>IF($A102="","",IFERROR(INDEX(Baseline!$D$20:$D$49,MATCH($C102,Baseline!$A$20:$A$49,0)),""))</f>
        <v/>
      </c>
      <c r="O102" s="58">
        <f>IF($A102="","",IFERROR(INDEX(Baseline!$F$20:$F$49,MATCH($C102,Baseline!$A$20:$A$49,0)),0))</f>
        <v/>
      </c>
      <c r="P102" s="58">
        <f>IF($A102="","",IFERROR(INDEX(Baseline!$G$20:$G$49,MATCH($C102,Baseline!$A$20:$A$49,0)),"RED"))</f>
        <v/>
      </c>
      <c r="Q102" s="58">
        <f>IF($A102="","",$A102&amp;"|"&amp;$B102&amp;"|"&amp;$C102)</f>
        <v/>
      </c>
      <c r="R102" s="59" t="n"/>
      <c r="S102" s="60" t="n"/>
    </row>
    <row r="103" ht="15" customHeight="1" s="34">
      <c r="A103" s="54" t="n"/>
      <c r="B103" s="54" t="n"/>
      <c r="C103" s="54" t="n"/>
      <c r="D103" s="55">
        <f>IF($A103="","",IFERROR(INDEX(Baseline!$B$20:$B$49,MATCH($C103,Baseline!$A$20:$A$49,0)),"Line not in baseline"))</f>
        <v/>
      </c>
      <c r="E103" s="55">
        <f>IF($A103="","",IFERROR(INDEX(Baseline!$C$20:$C$49,MATCH($C103,Baseline!$A$20:$A$49,0)),""))</f>
        <v/>
      </c>
      <c r="F103" s="56">
        <f>IF($A103="","",IFERROR(INDEX(Baseline!$E$20:$E$49,MATCH($C103,Baseline!$A$20:$A$49,0)),""))</f>
        <v/>
      </c>
      <c r="G103" s="57" t="n"/>
      <c r="H103" s="54" t="n"/>
      <c r="I103" s="54" t="n"/>
      <c r="J103" s="39">
        <f>IF($A103="","",IF($E103="Informational","GREEN",IF($G103="",IF($E103="Mandatory","RED","YELLOW"),IF($N103="Exact",IF(UPPER(TRIM($G103&amp;""))=UPPER(TRIM($F103&amp;"")),"GREEN",$P103),IF(NOT(ISNUMBER($G103)),$P103,IF($N103="Min",IF($G103&gt;=$F103,"GREEN",IF($G103&gt;=$F103-$O103,"YELLOW",$P103)),IF($N103="Max",IF($G103&lt;=$F103,"GREEN",IF($G103&lt;=$F103+$O103,"YELLOW",$P103)),IF($N103="Range",IF(ABS($G103-$F103)&lt;=$O103,"GREEN",$P103),"CHECK RULE"))))))))</f>
        <v/>
      </c>
      <c r="K103" s="39">
        <f>IF($A103="","",IF($H103="Non-Compliant","RED",IF(AND(OR($H103="Alternative Offer",$H103="Partially Compliant"),$J103="GREEN"),"YELLOW",IF(AND($J103="GREEN",ISNUMBER($R103),$R103&lt;Baseline!$B$9),"YELLOW",$J103))))</f>
        <v/>
      </c>
      <c r="L103" s="39">
        <f>IF($A103="","",IF($K103="GREEN","GREEN",IF(COUNTIFS(Exceptions!$B$5:$B$104,$A103,Exceptions!$C$5:$C$104,$B103,Exceptions!$D$5:$D$104,$C103,Exceptions!$G$5:$G$104,"Accepted",Exceptions!$H$5:$H$104,"&lt;&gt;")&gt;0,"CLEARED",$K103)))</f>
        <v/>
      </c>
      <c r="M103" s="39">
        <f>IF($A103="","",IF($H103="","Declaration missing",IF($H103="Not Stated","Not stated in quotation",IF(AND(ISNUMBER($R103),$R103&lt;Baseline!$B$9),"Low AI confidence - verify",IF(AND($H103="Fully Compliant",$J103&lt;&gt;"GREEN"),"Declared Fully - evidence differs","")))))</f>
        <v/>
      </c>
      <c r="N103" s="58">
        <f>IF($A103="","",IFERROR(INDEX(Baseline!$D$20:$D$49,MATCH($C103,Baseline!$A$20:$A$49,0)),""))</f>
        <v/>
      </c>
      <c r="O103" s="58">
        <f>IF($A103="","",IFERROR(INDEX(Baseline!$F$20:$F$49,MATCH($C103,Baseline!$A$20:$A$49,0)),0))</f>
        <v/>
      </c>
      <c r="P103" s="58">
        <f>IF($A103="","",IFERROR(INDEX(Baseline!$G$20:$G$49,MATCH($C103,Baseline!$A$20:$A$49,0)),"RED"))</f>
        <v/>
      </c>
      <c r="Q103" s="58">
        <f>IF($A103="","",$A103&amp;"|"&amp;$B103&amp;"|"&amp;$C103)</f>
        <v/>
      </c>
      <c r="R103" s="59" t="n"/>
      <c r="S103" s="60" t="n"/>
    </row>
    <row r="104" ht="15" customHeight="1" s="34">
      <c r="A104" s="54" t="n"/>
      <c r="B104" s="54" t="n"/>
      <c r="C104" s="54" t="n"/>
      <c r="D104" s="55">
        <f>IF($A104="","",IFERROR(INDEX(Baseline!$B$20:$B$49,MATCH($C104,Baseline!$A$20:$A$49,0)),"Line not in baseline"))</f>
        <v/>
      </c>
      <c r="E104" s="55">
        <f>IF($A104="","",IFERROR(INDEX(Baseline!$C$20:$C$49,MATCH($C104,Baseline!$A$20:$A$49,0)),""))</f>
        <v/>
      </c>
      <c r="F104" s="56">
        <f>IF($A104="","",IFERROR(INDEX(Baseline!$E$20:$E$49,MATCH($C104,Baseline!$A$20:$A$49,0)),""))</f>
        <v/>
      </c>
      <c r="G104" s="57" t="n"/>
      <c r="H104" s="54" t="n"/>
      <c r="I104" s="54" t="n"/>
      <c r="J104" s="39">
        <f>IF($A104="","",IF($E104="Informational","GREEN",IF($G104="",IF($E104="Mandatory","RED","YELLOW"),IF($N104="Exact",IF(UPPER(TRIM($G104&amp;""))=UPPER(TRIM($F104&amp;"")),"GREEN",$P104),IF(NOT(ISNUMBER($G104)),$P104,IF($N104="Min",IF($G104&gt;=$F104,"GREEN",IF($G104&gt;=$F104-$O104,"YELLOW",$P104)),IF($N104="Max",IF($G104&lt;=$F104,"GREEN",IF($G104&lt;=$F104+$O104,"YELLOW",$P104)),IF($N104="Range",IF(ABS($G104-$F104)&lt;=$O104,"GREEN",$P104),"CHECK RULE"))))))))</f>
        <v/>
      </c>
      <c r="K104" s="39">
        <f>IF($A104="","",IF($H104="Non-Compliant","RED",IF(AND(OR($H104="Alternative Offer",$H104="Partially Compliant"),$J104="GREEN"),"YELLOW",IF(AND($J104="GREEN",ISNUMBER($R104),$R104&lt;Baseline!$B$9),"YELLOW",$J104))))</f>
        <v/>
      </c>
      <c r="L104" s="39">
        <f>IF($A104="","",IF($K104="GREEN","GREEN",IF(COUNTIFS(Exceptions!$B$5:$B$104,$A104,Exceptions!$C$5:$C$104,$B104,Exceptions!$D$5:$D$104,$C104,Exceptions!$G$5:$G$104,"Accepted",Exceptions!$H$5:$H$104,"&lt;&gt;")&gt;0,"CLEARED",$K104)))</f>
        <v/>
      </c>
      <c r="M104" s="39">
        <f>IF($A104="","",IF($H104="","Declaration missing",IF($H104="Not Stated","Not stated in quotation",IF(AND(ISNUMBER($R104),$R104&lt;Baseline!$B$9),"Low AI confidence - verify",IF(AND($H104="Fully Compliant",$J104&lt;&gt;"GREEN"),"Declared Fully - evidence differs","")))))</f>
        <v/>
      </c>
      <c r="N104" s="58">
        <f>IF($A104="","",IFERROR(INDEX(Baseline!$D$20:$D$49,MATCH($C104,Baseline!$A$20:$A$49,0)),""))</f>
        <v/>
      </c>
      <c r="O104" s="58">
        <f>IF($A104="","",IFERROR(INDEX(Baseline!$F$20:$F$49,MATCH($C104,Baseline!$A$20:$A$49,0)),0))</f>
        <v/>
      </c>
      <c r="P104" s="58">
        <f>IF($A104="","",IFERROR(INDEX(Baseline!$G$20:$G$49,MATCH($C104,Baseline!$A$20:$A$49,0)),"RED"))</f>
        <v/>
      </c>
      <c r="Q104" s="58">
        <f>IF($A104="","",$A104&amp;"|"&amp;$B104&amp;"|"&amp;$C104)</f>
        <v/>
      </c>
      <c r="R104" s="59" t="n"/>
      <c r="S104" s="60" t="n"/>
    </row>
    <row r="105" ht="15" customHeight="1" s="34">
      <c r="A105" s="54" t="n"/>
      <c r="B105" s="54" t="n"/>
      <c r="C105" s="54" t="n"/>
      <c r="D105" s="55">
        <f>IF($A105="","",IFERROR(INDEX(Baseline!$B$20:$B$49,MATCH($C105,Baseline!$A$20:$A$49,0)),"Line not in baseline"))</f>
        <v/>
      </c>
      <c r="E105" s="55">
        <f>IF($A105="","",IFERROR(INDEX(Baseline!$C$20:$C$49,MATCH($C105,Baseline!$A$20:$A$49,0)),""))</f>
        <v/>
      </c>
      <c r="F105" s="56">
        <f>IF($A105="","",IFERROR(INDEX(Baseline!$E$20:$E$49,MATCH($C105,Baseline!$A$20:$A$49,0)),""))</f>
        <v/>
      </c>
      <c r="G105" s="57" t="n"/>
      <c r="H105" s="54" t="n"/>
      <c r="I105" s="54" t="n"/>
      <c r="J105" s="39">
        <f>IF($A105="","",IF($E105="Informational","GREEN",IF($G105="",IF($E105="Mandatory","RED","YELLOW"),IF($N105="Exact",IF(UPPER(TRIM($G105&amp;""))=UPPER(TRIM($F105&amp;"")),"GREEN",$P105),IF(NOT(ISNUMBER($G105)),$P105,IF($N105="Min",IF($G105&gt;=$F105,"GREEN",IF($G105&gt;=$F105-$O105,"YELLOW",$P105)),IF($N105="Max",IF($G105&lt;=$F105,"GREEN",IF($G105&lt;=$F105+$O105,"YELLOW",$P105)),IF($N105="Range",IF(ABS($G105-$F105)&lt;=$O105,"GREEN",$P105),"CHECK RULE"))))))))</f>
        <v/>
      </c>
      <c r="K105" s="39">
        <f>IF($A105="","",IF($H105="Non-Compliant","RED",IF(AND(OR($H105="Alternative Offer",$H105="Partially Compliant"),$J105="GREEN"),"YELLOW",IF(AND($J105="GREEN",ISNUMBER($R105),$R105&lt;Baseline!$B$9),"YELLOW",$J105))))</f>
        <v/>
      </c>
      <c r="L105" s="39">
        <f>IF($A105="","",IF($K105="GREEN","GREEN",IF(COUNTIFS(Exceptions!$B$5:$B$104,$A105,Exceptions!$C$5:$C$104,$B105,Exceptions!$D$5:$D$104,$C105,Exceptions!$G$5:$G$104,"Accepted",Exceptions!$H$5:$H$104,"&lt;&gt;")&gt;0,"CLEARED",$K105)))</f>
        <v/>
      </c>
      <c r="M105" s="39">
        <f>IF($A105="","",IF($H105="","Declaration missing",IF($H105="Not Stated","Not stated in quotation",IF(AND(ISNUMBER($R105),$R105&lt;Baseline!$B$9),"Low AI confidence - verify",IF(AND($H105="Fully Compliant",$J105&lt;&gt;"GREEN"),"Declared Fully - evidence differs","")))))</f>
        <v/>
      </c>
      <c r="N105" s="58">
        <f>IF($A105="","",IFERROR(INDEX(Baseline!$D$20:$D$49,MATCH($C105,Baseline!$A$20:$A$49,0)),""))</f>
        <v/>
      </c>
      <c r="O105" s="58">
        <f>IF($A105="","",IFERROR(INDEX(Baseline!$F$20:$F$49,MATCH($C105,Baseline!$A$20:$A$49,0)),0))</f>
        <v/>
      </c>
      <c r="P105" s="58">
        <f>IF($A105="","",IFERROR(INDEX(Baseline!$G$20:$G$49,MATCH($C105,Baseline!$A$20:$A$49,0)),"RED"))</f>
        <v/>
      </c>
      <c r="Q105" s="58">
        <f>IF($A105="","",$A105&amp;"|"&amp;$B105&amp;"|"&amp;$C105)</f>
        <v/>
      </c>
      <c r="R105" s="59" t="n"/>
      <c r="S105" s="60" t="n"/>
    </row>
    <row r="106" ht="15" customHeight="1" s="34">
      <c r="A106" s="54" t="n"/>
      <c r="B106" s="54" t="n"/>
      <c r="C106" s="54" t="n"/>
      <c r="D106" s="55">
        <f>IF($A106="","",IFERROR(INDEX(Baseline!$B$20:$B$49,MATCH($C106,Baseline!$A$20:$A$49,0)),"Line not in baseline"))</f>
        <v/>
      </c>
      <c r="E106" s="55">
        <f>IF($A106="","",IFERROR(INDEX(Baseline!$C$20:$C$49,MATCH($C106,Baseline!$A$20:$A$49,0)),""))</f>
        <v/>
      </c>
      <c r="F106" s="56">
        <f>IF($A106="","",IFERROR(INDEX(Baseline!$E$20:$E$49,MATCH($C106,Baseline!$A$20:$A$49,0)),""))</f>
        <v/>
      </c>
      <c r="G106" s="57" t="n"/>
      <c r="H106" s="54" t="n"/>
      <c r="I106" s="54" t="n"/>
      <c r="J106" s="39">
        <f>IF($A106="","",IF($E106="Informational","GREEN",IF($G106="",IF($E106="Mandatory","RED","YELLOW"),IF($N106="Exact",IF(UPPER(TRIM($G106&amp;""))=UPPER(TRIM($F106&amp;"")),"GREEN",$P106),IF(NOT(ISNUMBER($G106)),$P106,IF($N106="Min",IF($G106&gt;=$F106,"GREEN",IF($G106&gt;=$F106-$O106,"YELLOW",$P106)),IF($N106="Max",IF($G106&lt;=$F106,"GREEN",IF($G106&lt;=$F106+$O106,"YELLOW",$P106)),IF($N106="Range",IF(ABS($G106-$F106)&lt;=$O106,"GREEN",$P106),"CHECK RULE"))))))))</f>
        <v/>
      </c>
      <c r="K106" s="39">
        <f>IF($A106="","",IF($H106="Non-Compliant","RED",IF(AND(OR($H106="Alternative Offer",$H106="Partially Compliant"),$J106="GREEN"),"YELLOW",IF(AND($J106="GREEN",ISNUMBER($R106),$R106&lt;Baseline!$B$9),"YELLOW",$J106))))</f>
        <v/>
      </c>
      <c r="L106" s="39">
        <f>IF($A106="","",IF($K106="GREEN","GREEN",IF(COUNTIFS(Exceptions!$B$5:$B$104,$A106,Exceptions!$C$5:$C$104,$B106,Exceptions!$D$5:$D$104,$C106,Exceptions!$G$5:$G$104,"Accepted",Exceptions!$H$5:$H$104,"&lt;&gt;")&gt;0,"CLEARED",$K106)))</f>
        <v/>
      </c>
      <c r="M106" s="39">
        <f>IF($A106="","",IF($H106="","Declaration missing",IF($H106="Not Stated","Not stated in quotation",IF(AND(ISNUMBER($R106),$R106&lt;Baseline!$B$9),"Low AI confidence - verify",IF(AND($H106="Fully Compliant",$J106&lt;&gt;"GREEN"),"Declared Fully - evidence differs","")))))</f>
        <v/>
      </c>
      <c r="N106" s="58">
        <f>IF($A106="","",IFERROR(INDEX(Baseline!$D$20:$D$49,MATCH($C106,Baseline!$A$20:$A$49,0)),""))</f>
        <v/>
      </c>
      <c r="O106" s="58">
        <f>IF($A106="","",IFERROR(INDEX(Baseline!$F$20:$F$49,MATCH($C106,Baseline!$A$20:$A$49,0)),0))</f>
        <v/>
      </c>
      <c r="P106" s="58">
        <f>IF($A106="","",IFERROR(INDEX(Baseline!$G$20:$G$49,MATCH($C106,Baseline!$A$20:$A$49,0)),"RED"))</f>
        <v/>
      </c>
      <c r="Q106" s="58">
        <f>IF($A106="","",$A106&amp;"|"&amp;$B106&amp;"|"&amp;$C106)</f>
        <v/>
      </c>
      <c r="R106" s="59" t="n"/>
      <c r="S106" s="60" t="n"/>
    </row>
    <row r="107" ht="15" customHeight="1" s="34">
      <c r="A107" s="54" t="n"/>
      <c r="B107" s="54" t="n"/>
      <c r="C107" s="54" t="n"/>
      <c r="D107" s="55">
        <f>IF($A107="","",IFERROR(INDEX(Baseline!$B$20:$B$49,MATCH($C107,Baseline!$A$20:$A$49,0)),"Line not in baseline"))</f>
        <v/>
      </c>
      <c r="E107" s="55">
        <f>IF($A107="","",IFERROR(INDEX(Baseline!$C$20:$C$49,MATCH($C107,Baseline!$A$20:$A$49,0)),""))</f>
        <v/>
      </c>
      <c r="F107" s="56">
        <f>IF($A107="","",IFERROR(INDEX(Baseline!$E$20:$E$49,MATCH($C107,Baseline!$A$20:$A$49,0)),""))</f>
        <v/>
      </c>
      <c r="G107" s="57" t="n"/>
      <c r="H107" s="54" t="n"/>
      <c r="I107" s="54" t="n"/>
      <c r="J107" s="39">
        <f>IF($A107="","",IF($E107="Informational","GREEN",IF($G107="",IF($E107="Mandatory","RED","YELLOW"),IF($N107="Exact",IF(UPPER(TRIM($G107&amp;""))=UPPER(TRIM($F107&amp;"")),"GREEN",$P107),IF(NOT(ISNUMBER($G107)),$P107,IF($N107="Min",IF($G107&gt;=$F107,"GREEN",IF($G107&gt;=$F107-$O107,"YELLOW",$P107)),IF($N107="Max",IF($G107&lt;=$F107,"GREEN",IF($G107&lt;=$F107+$O107,"YELLOW",$P107)),IF($N107="Range",IF(ABS($G107-$F107)&lt;=$O107,"GREEN",$P107),"CHECK RULE"))))))))</f>
        <v/>
      </c>
      <c r="K107" s="39">
        <f>IF($A107="","",IF($H107="Non-Compliant","RED",IF(AND(OR($H107="Alternative Offer",$H107="Partially Compliant"),$J107="GREEN"),"YELLOW",IF(AND($J107="GREEN",ISNUMBER($R107),$R107&lt;Baseline!$B$9),"YELLOW",$J107))))</f>
        <v/>
      </c>
      <c r="L107" s="39">
        <f>IF($A107="","",IF($K107="GREEN","GREEN",IF(COUNTIFS(Exceptions!$B$5:$B$104,$A107,Exceptions!$C$5:$C$104,$B107,Exceptions!$D$5:$D$104,$C107,Exceptions!$G$5:$G$104,"Accepted",Exceptions!$H$5:$H$104,"&lt;&gt;")&gt;0,"CLEARED",$K107)))</f>
        <v/>
      </c>
      <c r="M107" s="39">
        <f>IF($A107="","",IF($H107="","Declaration missing",IF($H107="Not Stated","Not stated in quotation",IF(AND(ISNUMBER($R107),$R107&lt;Baseline!$B$9),"Low AI confidence - verify",IF(AND($H107="Fully Compliant",$J107&lt;&gt;"GREEN"),"Declared Fully - evidence differs","")))))</f>
        <v/>
      </c>
      <c r="N107" s="58">
        <f>IF($A107="","",IFERROR(INDEX(Baseline!$D$20:$D$49,MATCH($C107,Baseline!$A$20:$A$49,0)),""))</f>
        <v/>
      </c>
      <c r="O107" s="58">
        <f>IF($A107="","",IFERROR(INDEX(Baseline!$F$20:$F$49,MATCH($C107,Baseline!$A$20:$A$49,0)),0))</f>
        <v/>
      </c>
      <c r="P107" s="58">
        <f>IF($A107="","",IFERROR(INDEX(Baseline!$G$20:$G$49,MATCH($C107,Baseline!$A$20:$A$49,0)),"RED"))</f>
        <v/>
      </c>
      <c r="Q107" s="58">
        <f>IF($A107="","",$A107&amp;"|"&amp;$B107&amp;"|"&amp;$C107)</f>
        <v/>
      </c>
      <c r="R107" s="59" t="n"/>
      <c r="S107" s="60" t="n"/>
    </row>
    <row r="108" ht="15" customHeight="1" s="34">
      <c r="A108" s="54" t="n"/>
      <c r="B108" s="54" t="n"/>
      <c r="C108" s="54" t="n"/>
      <c r="D108" s="55">
        <f>IF($A108="","",IFERROR(INDEX(Baseline!$B$20:$B$49,MATCH($C108,Baseline!$A$20:$A$49,0)),"Line not in baseline"))</f>
        <v/>
      </c>
      <c r="E108" s="55">
        <f>IF($A108="","",IFERROR(INDEX(Baseline!$C$20:$C$49,MATCH($C108,Baseline!$A$20:$A$49,0)),""))</f>
        <v/>
      </c>
      <c r="F108" s="56">
        <f>IF($A108="","",IFERROR(INDEX(Baseline!$E$20:$E$49,MATCH($C108,Baseline!$A$20:$A$49,0)),""))</f>
        <v/>
      </c>
      <c r="G108" s="57" t="n"/>
      <c r="H108" s="54" t="n"/>
      <c r="I108" s="54" t="n"/>
      <c r="J108" s="39">
        <f>IF($A108="","",IF($E108="Informational","GREEN",IF($G108="",IF($E108="Mandatory","RED","YELLOW"),IF($N108="Exact",IF(UPPER(TRIM($G108&amp;""))=UPPER(TRIM($F108&amp;"")),"GREEN",$P108),IF(NOT(ISNUMBER($G108)),$P108,IF($N108="Min",IF($G108&gt;=$F108,"GREEN",IF($G108&gt;=$F108-$O108,"YELLOW",$P108)),IF($N108="Max",IF($G108&lt;=$F108,"GREEN",IF($G108&lt;=$F108+$O108,"YELLOW",$P108)),IF($N108="Range",IF(ABS($G108-$F108)&lt;=$O108,"GREEN",$P108),"CHECK RULE"))))))))</f>
        <v/>
      </c>
      <c r="K108" s="39">
        <f>IF($A108="","",IF($H108="Non-Compliant","RED",IF(AND(OR($H108="Alternative Offer",$H108="Partially Compliant"),$J108="GREEN"),"YELLOW",IF(AND($J108="GREEN",ISNUMBER($R108),$R108&lt;Baseline!$B$9),"YELLOW",$J108))))</f>
        <v/>
      </c>
      <c r="L108" s="39">
        <f>IF($A108="","",IF($K108="GREEN","GREEN",IF(COUNTIFS(Exceptions!$B$5:$B$104,$A108,Exceptions!$C$5:$C$104,$B108,Exceptions!$D$5:$D$104,$C108,Exceptions!$G$5:$G$104,"Accepted",Exceptions!$H$5:$H$104,"&lt;&gt;")&gt;0,"CLEARED",$K108)))</f>
        <v/>
      </c>
      <c r="M108" s="39">
        <f>IF($A108="","",IF($H108="","Declaration missing",IF($H108="Not Stated","Not stated in quotation",IF(AND(ISNUMBER($R108),$R108&lt;Baseline!$B$9),"Low AI confidence - verify",IF(AND($H108="Fully Compliant",$J108&lt;&gt;"GREEN"),"Declared Fully - evidence differs","")))))</f>
        <v/>
      </c>
      <c r="N108" s="58">
        <f>IF($A108="","",IFERROR(INDEX(Baseline!$D$20:$D$49,MATCH($C108,Baseline!$A$20:$A$49,0)),""))</f>
        <v/>
      </c>
      <c r="O108" s="58">
        <f>IF($A108="","",IFERROR(INDEX(Baseline!$F$20:$F$49,MATCH($C108,Baseline!$A$20:$A$49,0)),0))</f>
        <v/>
      </c>
      <c r="P108" s="58">
        <f>IF($A108="","",IFERROR(INDEX(Baseline!$G$20:$G$49,MATCH($C108,Baseline!$A$20:$A$49,0)),"RED"))</f>
        <v/>
      </c>
      <c r="Q108" s="58">
        <f>IF($A108="","",$A108&amp;"|"&amp;$B108&amp;"|"&amp;$C108)</f>
        <v/>
      </c>
      <c r="R108" s="59" t="n"/>
      <c r="S108" s="60" t="n"/>
    </row>
    <row r="109" ht="15" customHeight="1" s="34">
      <c r="A109" s="54" t="n"/>
      <c r="B109" s="54" t="n"/>
      <c r="C109" s="54" t="n"/>
      <c r="D109" s="55">
        <f>IF($A109="","",IFERROR(INDEX(Baseline!$B$20:$B$49,MATCH($C109,Baseline!$A$20:$A$49,0)),"Line not in baseline"))</f>
        <v/>
      </c>
      <c r="E109" s="55">
        <f>IF($A109="","",IFERROR(INDEX(Baseline!$C$20:$C$49,MATCH($C109,Baseline!$A$20:$A$49,0)),""))</f>
        <v/>
      </c>
      <c r="F109" s="56">
        <f>IF($A109="","",IFERROR(INDEX(Baseline!$E$20:$E$49,MATCH($C109,Baseline!$A$20:$A$49,0)),""))</f>
        <v/>
      </c>
      <c r="G109" s="57" t="n"/>
      <c r="H109" s="54" t="n"/>
      <c r="I109" s="54" t="n"/>
      <c r="J109" s="39">
        <f>IF($A109="","",IF($E109="Informational","GREEN",IF($G109="",IF($E109="Mandatory","RED","YELLOW"),IF($N109="Exact",IF(UPPER(TRIM($G109&amp;""))=UPPER(TRIM($F109&amp;"")),"GREEN",$P109),IF(NOT(ISNUMBER($G109)),$P109,IF($N109="Min",IF($G109&gt;=$F109,"GREEN",IF($G109&gt;=$F109-$O109,"YELLOW",$P109)),IF($N109="Max",IF($G109&lt;=$F109,"GREEN",IF($G109&lt;=$F109+$O109,"YELLOW",$P109)),IF($N109="Range",IF(ABS($G109-$F109)&lt;=$O109,"GREEN",$P109),"CHECK RULE"))))))))</f>
        <v/>
      </c>
      <c r="K109" s="39">
        <f>IF($A109="","",IF($H109="Non-Compliant","RED",IF(AND(OR($H109="Alternative Offer",$H109="Partially Compliant"),$J109="GREEN"),"YELLOW",IF(AND($J109="GREEN",ISNUMBER($R109),$R109&lt;Baseline!$B$9),"YELLOW",$J109))))</f>
        <v/>
      </c>
      <c r="L109" s="39">
        <f>IF($A109="","",IF($K109="GREEN","GREEN",IF(COUNTIFS(Exceptions!$B$5:$B$104,$A109,Exceptions!$C$5:$C$104,$B109,Exceptions!$D$5:$D$104,$C109,Exceptions!$G$5:$G$104,"Accepted",Exceptions!$H$5:$H$104,"&lt;&gt;")&gt;0,"CLEARED",$K109)))</f>
        <v/>
      </c>
      <c r="M109" s="39">
        <f>IF($A109="","",IF($H109="","Declaration missing",IF($H109="Not Stated","Not stated in quotation",IF(AND(ISNUMBER($R109),$R109&lt;Baseline!$B$9),"Low AI confidence - verify",IF(AND($H109="Fully Compliant",$J109&lt;&gt;"GREEN"),"Declared Fully - evidence differs","")))))</f>
        <v/>
      </c>
      <c r="N109" s="58">
        <f>IF($A109="","",IFERROR(INDEX(Baseline!$D$20:$D$49,MATCH($C109,Baseline!$A$20:$A$49,0)),""))</f>
        <v/>
      </c>
      <c r="O109" s="58">
        <f>IF($A109="","",IFERROR(INDEX(Baseline!$F$20:$F$49,MATCH($C109,Baseline!$A$20:$A$49,0)),0))</f>
        <v/>
      </c>
      <c r="P109" s="58">
        <f>IF($A109="","",IFERROR(INDEX(Baseline!$G$20:$G$49,MATCH($C109,Baseline!$A$20:$A$49,0)),"RED"))</f>
        <v/>
      </c>
      <c r="Q109" s="58">
        <f>IF($A109="","",$A109&amp;"|"&amp;$B109&amp;"|"&amp;$C109)</f>
        <v/>
      </c>
      <c r="R109" s="59" t="n"/>
      <c r="S109" s="60" t="n"/>
    </row>
    <row r="110" ht="15" customHeight="1" s="34">
      <c r="A110" s="54" t="n"/>
      <c r="B110" s="54" t="n"/>
      <c r="C110" s="54" t="n"/>
      <c r="D110" s="55">
        <f>IF($A110="","",IFERROR(INDEX(Baseline!$B$20:$B$49,MATCH($C110,Baseline!$A$20:$A$49,0)),"Line not in baseline"))</f>
        <v/>
      </c>
      <c r="E110" s="55">
        <f>IF($A110="","",IFERROR(INDEX(Baseline!$C$20:$C$49,MATCH($C110,Baseline!$A$20:$A$49,0)),""))</f>
        <v/>
      </c>
      <c r="F110" s="56">
        <f>IF($A110="","",IFERROR(INDEX(Baseline!$E$20:$E$49,MATCH($C110,Baseline!$A$20:$A$49,0)),""))</f>
        <v/>
      </c>
      <c r="G110" s="57" t="n"/>
      <c r="H110" s="54" t="n"/>
      <c r="I110" s="54" t="n"/>
      <c r="J110" s="39">
        <f>IF($A110="","",IF($E110="Informational","GREEN",IF($G110="",IF($E110="Mandatory","RED","YELLOW"),IF($N110="Exact",IF(UPPER(TRIM($G110&amp;""))=UPPER(TRIM($F110&amp;"")),"GREEN",$P110),IF(NOT(ISNUMBER($G110)),$P110,IF($N110="Min",IF($G110&gt;=$F110,"GREEN",IF($G110&gt;=$F110-$O110,"YELLOW",$P110)),IF($N110="Max",IF($G110&lt;=$F110,"GREEN",IF($G110&lt;=$F110+$O110,"YELLOW",$P110)),IF($N110="Range",IF(ABS($G110-$F110)&lt;=$O110,"GREEN",$P110),"CHECK RULE"))))))))</f>
        <v/>
      </c>
      <c r="K110" s="39">
        <f>IF($A110="","",IF($H110="Non-Compliant","RED",IF(AND(OR($H110="Alternative Offer",$H110="Partially Compliant"),$J110="GREEN"),"YELLOW",IF(AND($J110="GREEN",ISNUMBER($R110),$R110&lt;Baseline!$B$9),"YELLOW",$J110))))</f>
        <v/>
      </c>
      <c r="L110" s="39">
        <f>IF($A110="","",IF($K110="GREEN","GREEN",IF(COUNTIFS(Exceptions!$B$5:$B$104,$A110,Exceptions!$C$5:$C$104,$B110,Exceptions!$D$5:$D$104,$C110,Exceptions!$G$5:$G$104,"Accepted",Exceptions!$H$5:$H$104,"&lt;&gt;")&gt;0,"CLEARED",$K110)))</f>
        <v/>
      </c>
      <c r="M110" s="39">
        <f>IF($A110="","",IF($H110="","Declaration missing",IF($H110="Not Stated","Not stated in quotation",IF(AND(ISNUMBER($R110),$R110&lt;Baseline!$B$9),"Low AI confidence - verify",IF(AND($H110="Fully Compliant",$J110&lt;&gt;"GREEN"),"Declared Fully - evidence differs","")))))</f>
        <v/>
      </c>
      <c r="N110" s="58">
        <f>IF($A110="","",IFERROR(INDEX(Baseline!$D$20:$D$49,MATCH($C110,Baseline!$A$20:$A$49,0)),""))</f>
        <v/>
      </c>
      <c r="O110" s="58">
        <f>IF($A110="","",IFERROR(INDEX(Baseline!$F$20:$F$49,MATCH($C110,Baseline!$A$20:$A$49,0)),0))</f>
        <v/>
      </c>
      <c r="P110" s="58">
        <f>IF($A110="","",IFERROR(INDEX(Baseline!$G$20:$G$49,MATCH($C110,Baseline!$A$20:$A$49,0)),"RED"))</f>
        <v/>
      </c>
      <c r="Q110" s="58">
        <f>IF($A110="","",$A110&amp;"|"&amp;$B110&amp;"|"&amp;$C110)</f>
        <v/>
      </c>
      <c r="R110" s="59" t="n"/>
      <c r="S110" s="60" t="n"/>
    </row>
    <row r="111" ht="15" customHeight="1" s="34">
      <c r="A111" s="54" t="n"/>
      <c r="B111" s="54" t="n"/>
      <c r="C111" s="54" t="n"/>
      <c r="D111" s="55">
        <f>IF($A111="","",IFERROR(INDEX(Baseline!$B$20:$B$49,MATCH($C111,Baseline!$A$20:$A$49,0)),"Line not in baseline"))</f>
        <v/>
      </c>
      <c r="E111" s="55">
        <f>IF($A111="","",IFERROR(INDEX(Baseline!$C$20:$C$49,MATCH($C111,Baseline!$A$20:$A$49,0)),""))</f>
        <v/>
      </c>
      <c r="F111" s="56">
        <f>IF($A111="","",IFERROR(INDEX(Baseline!$E$20:$E$49,MATCH($C111,Baseline!$A$20:$A$49,0)),""))</f>
        <v/>
      </c>
      <c r="G111" s="57" t="n"/>
      <c r="H111" s="54" t="n"/>
      <c r="I111" s="54" t="n"/>
      <c r="J111" s="39">
        <f>IF($A111="","",IF($E111="Informational","GREEN",IF($G111="",IF($E111="Mandatory","RED","YELLOW"),IF($N111="Exact",IF(UPPER(TRIM($G111&amp;""))=UPPER(TRIM($F111&amp;"")),"GREEN",$P111),IF(NOT(ISNUMBER($G111)),$P111,IF($N111="Min",IF($G111&gt;=$F111,"GREEN",IF($G111&gt;=$F111-$O111,"YELLOW",$P111)),IF($N111="Max",IF($G111&lt;=$F111,"GREEN",IF($G111&lt;=$F111+$O111,"YELLOW",$P111)),IF($N111="Range",IF(ABS($G111-$F111)&lt;=$O111,"GREEN",$P111),"CHECK RULE"))))))))</f>
        <v/>
      </c>
      <c r="K111" s="39">
        <f>IF($A111="","",IF($H111="Non-Compliant","RED",IF(AND(OR($H111="Alternative Offer",$H111="Partially Compliant"),$J111="GREEN"),"YELLOW",IF(AND($J111="GREEN",ISNUMBER($R111),$R111&lt;Baseline!$B$9),"YELLOW",$J111))))</f>
        <v/>
      </c>
      <c r="L111" s="39">
        <f>IF($A111="","",IF($K111="GREEN","GREEN",IF(COUNTIFS(Exceptions!$B$5:$B$104,$A111,Exceptions!$C$5:$C$104,$B111,Exceptions!$D$5:$D$104,$C111,Exceptions!$G$5:$G$104,"Accepted",Exceptions!$H$5:$H$104,"&lt;&gt;")&gt;0,"CLEARED",$K111)))</f>
        <v/>
      </c>
      <c r="M111" s="39">
        <f>IF($A111="","",IF($H111="","Declaration missing",IF($H111="Not Stated","Not stated in quotation",IF(AND(ISNUMBER($R111),$R111&lt;Baseline!$B$9),"Low AI confidence - verify",IF(AND($H111="Fully Compliant",$J111&lt;&gt;"GREEN"),"Declared Fully - evidence differs","")))))</f>
        <v/>
      </c>
      <c r="N111" s="58">
        <f>IF($A111="","",IFERROR(INDEX(Baseline!$D$20:$D$49,MATCH($C111,Baseline!$A$20:$A$49,0)),""))</f>
        <v/>
      </c>
      <c r="O111" s="58">
        <f>IF($A111="","",IFERROR(INDEX(Baseline!$F$20:$F$49,MATCH($C111,Baseline!$A$20:$A$49,0)),0))</f>
        <v/>
      </c>
      <c r="P111" s="58">
        <f>IF($A111="","",IFERROR(INDEX(Baseline!$G$20:$G$49,MATCH($C111,Baseline!$A$20:$A$49,0)),"RED"))</f>
        <v/>
      </c>
      <c r="Q111" s="58">
        <f>IF($A111="","",$A111&amp;"|"&amp;$B111&amp;"|"&amp;$C111)</f>
        <v/>
      </c>
      <c r="R111" s="59" t="n"/>
      <c r="S111" s="60" t="n"/>
    </row>
    <row r="112" ht="15" customHeight="1" s="34">
      <c r="A112" s="54" t="n"/>
      <c r="B112" s="54" t="n"/>
      <c r="C112" s="54" t="n"/>
      <c r="D112" s="55">
        <f>IF($A112="","",IFERROR(INDEX(Baseline!$B$20:$B$49,MATCH($C112,Baseline!$A$20:$A$49,0)),"Line not in baseline"))</f>
        <v/>
      </c>
      <c r="E112" s="55">
        <f>IF($A112="","",IFERROR(INDEX(Baseline!$C$20:$C$49,MATCH($C112,Baseline!$A$20:$A$49,0)),""))</f>
        <v/>
      </c>
      <c r="F112" s="56">
        <f>IF($A112="","",IFERROR(INDEX(Baseline!$E$20:$E$49,MATCH($C112,Baseline!$A$20:$A$49,0)),""))</f>
        <v/>
      </c>
      <c r="G112" s="57" t="n"/>
      <c r="H112" s="54" t="n"/>
      <c r="I112" s="54" t="n"/>
      <c r="J112" s="39">
        <f>IF($A112="","",IF($E112="Informational","GREEN",IF($G112="",IF($E112="Mandatory","RED","YELLOW"),IF($N112="Exact",IF(UPPER(TRIM($G112&amp;""))=UPPER(TRIM($F112&amp;"")),"GREEN",$P112),IF(NOT(ISNUMBER($G112)),$P112,IF($N112="Min",IF($G112&gt;=$F112,"GREEN",IF($G112&gt;=$F112-$O112,"YELLOW",$P112)),IF($N112="Max",IF($G112&lt;=$F112,"GREEN",IF($G112&lt;=$F112+$O112,"YELLOW",$P112)),IF($N112="Range",IF(ABS($G112-$F112)&lt;=$O112,"GREEN",$P112),"CHECK RULE"))))))))</f>
        <v/>
      </c>
      <c r="K112" s="39">
        <f>IF($A112="","",IF($H112="Non-Compliant","RED",IF(AND(OR($H112="Alternative Offer",$H112="Partially Compliant"),$J112="GREEN"),"YELLOW",IF(AND($J112="GREEN",ISNUMBER($R112),$R112&lt;Baseline!$B$9),"YELLOW",$J112))))</f>
        <v/>
      </c>
      <c r="L112" s="39">
        <f>IF($A112="","",IF($K112="GREEN","GREEN",IF(COUNTIFS(Exceptions!$B$5:$B$104,$A112,Exceptions!$C$5:$C$104,$B112,Exceptions!$D$5:$D$104,$C112,Exceptions!$G$5:$G$104,"Accepted",Exceptions!$H$5:$H$104,"&lt;&gt;")&gt;0,"CLEARED",$K112)))</f>
        <v/>
      </c>
      <c r="M112" s="39">
        <f>IF($A112="","",IF($H112="","Declaration missing",IF($H112="Not Stated","Not stated in quotation",IF(AND(ISNUMBER($R112),$R112&lt;Baseline!$B$9),"Low AI confidence - verify",IF(AND($H112="Fully Compliant",$J112&lt;&gt;"GREEN"),"Declared Fully - evidence differs","")))))</f>
        <v/>
      </c>
      <c r="N112" s="58">
        <f>IF($A112="","",IFERROR(INDEX(Baseline!$D$20:$D$49,MATCH($C112,Baseline!$A$20:$A$49,0)),""))</f>
        <v/>
      </c>
      <c r="O112" s="58">
        <f>IF($A112="","",IFERROR(INDEX(Baseline!$F$20:$F$49,MATCH($C112,Baseline!$A$20:$A$49,0)),0))</f>
        <v/>
      </c>
      <c r="P112" s="58">
        <f>IF($A112="","",IFERROR(INDEX(Baseline!$G$20:$G$49,MATCH($C112,Baseline!$A$20:$A$49,0)),"RED"))</f>
        <v/>
      </c>
      <c r="Q112" s="58">
        <f>IF($A112="","",$A112&amp;"|"&amp;$B112&amp;"|"&amp;$C112)</f>
        <v/>
      </c>
      <c r="R112" s="59" t="n"/>
      <c r="S112" s="60" t="n"/>
    </row>
    <row r="113" ht="15" customHeight="1" s="34">
      <c r="A113" s="54" t="n"/>
      <c r="B113" s="54" t="n"/>
      <c r="C113" s="54" t="n"/>
      <c r="D113" s="55">
        <f>IF($A113="","",IFERROR(INDEX(Baseline!$B$20:$B$49,MATCH($C113,Baseline!$A$20:$A$49,0)),"Line not in baseline"))</f>
        <v/>
      </c>
      <c r="E113" s="55">
        <f>IF($A113="","",IFERROR(INDEX(Baseline!$C$20:$C$49,MATCH($C113,Baseline!$A$20:$A$49,0)),""))</f>
        <v/>
      </c>
      <c r="F113" s="56">
        <f>IF($A113="","",IFERROR(INDEX(Baseline!$E$20:$E$49,MATCH($C113,Baseline!$A$20:$A$49,0)),""))</f>
        <v/>
      </c>
      <c r="G113" s="57" t="n"/>
      <c r="H113" s="54" t="n"/>
      <c r="I113" s="54" t="n"/>
      <c r="J113" s="39">
        <f>IF($A113="","",IF($E113="Informational","GREEN",IF($G113="",IF($E113="Mandatory","RED","YELLOW"),IF($N113="Exact",IF(UPPER(TRIM($G113&amp;""))=UPPER(TRIM($F113&amp;"")),"GREEN",$P113),IF(NOT(ISNUMBER($G113)),$P113,IF($N113="Min",IF($G113&gt;=$F113,"GREEN",IF($G113&gt;=$F113-$O113,"YELLOW",$P113)),IF($N113="Max",IF($G113&lt;=$F113,"GREEN",IF($G113&lt;=$F113+$O113,"YELLOW",$P113)),IF($N113="Range",IF(ABS($G113-$F113)&lt;=$O113,"GREEN",$P113),"CHECK RULE"))))))))</f>
        <v/>
      </c>
      <c r="K113" s="39">
        <f>IF($A113="","",IF($H113="Non-Compliant","RED",IF(AND(OR($H113="Alternative Offer",$H113="Partially Compliant"),$J113="GREEN"),"YELLOW",IF(AND($J113="GREEN",ISNUMBER($R113),$R113&lt;Baseline!$B$9),"YELLOW",$J113))))</f>
        <v/>
      </c>
      <c r="L113" s="39">
        <f>IF($A113="","",IF($K113="GREEN","GREEN",IF(COUNTIFS(Exceptions!$B$5:$B$104,$A113,Exceptions!$C$5:$C$104,$B113,Exceptions!$D$5:$D$104,$C113,Exceptions!$G$5:$G$104,"Accepted",Exceptions!$H$5:$H$104,"&lt;&gt;")&gt;0,"CLEARED",$K113)))</f>
        <v/>
      </c>
      <c r="M113" s="39">
        <f>IF($A113="","",IF($H113="","Declaration missing",IF($H113="Not Stated","Not stated in quotation",IF(AND(ISNUMBER($R113),$R113&lt;Baseline!$B$9),"Low AI confidence - verify",IF(AND($H113="Fully Compliant",$J113&lt;&gt;"GREEN"),"Declared Fully - evidence differs","")))))</f>
        <v/>
      </c>
      <c r="N113" s="58">
        <f>IF($A113="","",IFERROR(INDEX(Baseline!$D$20:$D$49,MATCH($C113,Baseline!$A$20:$A$49,0)),""))</f>
        <v/>
      </c>
      <c r="O113" s="58">
        <f>IF($A113="","",IFERROR(INDEX(Baseline!$F$20:$F$49,MATCH($C113,Baseline!$A$20:$A$49,0)),0))</f>
        <v/>
      </c>
      <c r="P113" s="58">
        <f>IF($A113="","",IFERROR(INDEX(Baseline!$G$20:$G$49,MATCH($C113,Baseline!$A$20:$A$49,0)),"RED"))</f>
        <v/>
      </c>
      <c r="Q113" s="58">
        <f>IF($A113="","",$A113&amp;"|"&amp;$B113&amp;"|"&amp;$C113)</f>
        <v/>
      </c>
      <c r="R113" s="59" t="n"/>
      <c r="S113" s="60" t="n"/>
    </row>
    <row r="114" ht="15" customHeight="1" s="34">
      <c r="A114" s="54" t="n"/>
      <c r="B114" s="54" t="n"/>
      <c r="C114" s="54" t="n"/>
      <c r="D114" s="55">
        <f>IF($A114="","",IFERROR(INDEX(Baseline!$B$20:$B$49,MATCH($C114,Baseline!$A$20:$A$49,0)),"Line not in baseline"))</f>
        <v/>
      </c>
      <c r="E114" s="55">
        <f>IF($A114="","",IFERROR(INDEX(Baseline!$C$20:$C$49,MATCH($C114,Baseline!$A$20:$A$49,0)),""))</f>
        <v/>
      </c>
      <c r="F114" s="56">
        <f>IF($A114="","",IFERROR(INDEX(Baseline!$E$20:$E$49,MATCH($C114,Baseline!$A$20:$A$49,0)),""))</f>
        <v/>
      </c>
      <c r="G114" s="57" t="n"/>
      <c r="H114" s="54" t="n"/>
      <c r="I114" s="54" t="n"/>
      <c r="J114" s="39">
        <f>IF($A114="","",IF($E114="Informational","GREEN",IF($G114="",IF($E114="Mandatory","RED","YELLOW"),IF($N114="Exact",IF(UPPER(TRIM($G114&amp;""))=UPPER(TRIM($F114&amp;"")),"GREEN",$P114),IF(NOT(ISNUMBER($G114)),$P114,IF($N114="Min",IF($G114&gt;=$F114,"GREEN",IF($G114&gt;=$F114-$O114,"YELLOW",$P114)),IF($N114="Max",IF($G114&lt;=$F114,"GREEN",IF($G114&lt;=$F114+$O114,"YELLOW",$P114)),IF($N114="Range",IF(ABS($G114-$F114)&lt;=$O114,"GREEN",$P114),"CHECK RULE"))))))))</f>
        <v/>
      </c>
      <c r="K114" s="39">
        <f>IF($A114="","",IF($H114="Non-Compliant","RED",IF(AND(OR($H114="Alternative Offer",$H114="Partially Compliant"),$J114="GREEN"),"YELLOW",IF(AND($J114="GREEN",ISNUMBER($R114),$R114&lt;Baseline!$B$9),"YELLOW",$J114))))</f>
        <v/>
      </c>
      <c r="L114" s="39">
        <f>IF($A114="","",IF($K114="GREEN","GREEN",IF(COUNTIFS(Exceptions!$B$5:$B$104,$A114,Exceptions!$C$5:$C$104,$B114,Exceptions!$D$5:$D$104,$C114,Exceptions!$G$5:$G$104,"Accepted",Exceptions!$H$5:$H$104,"&lt;&gt;")&gt;0,"CLEARED",$K114)))</f>
        <v/>
      </c>
      <c r="M114" s="39">
        <f>IF($A114="","",IF($H114="","Declaration missing",IF($H114="Not Stated","Not stated in quotation",IF(AND(ISNUMBER($R114),$R114&lt;Baseline!$B$9),"Low AI confidence - verify",IF(AND($H114="Fully Compliant",$J114&lt;&gt;"GREEN"),"Declared Fully - evidence differs","")))))</f>
        <v/>
      </c>
      <c r="N114" s="58">
        <f>IF($A114="","",IFERROR(INDEX(Baseline!$D$20:$D$49,MATCH($C114,Baseline!$A$20:$A$49,0)),""))</f>
        <v/>
      </c>
      <c r="O114" s="58">
        <f>IF($A114="","",IFERROR(INDEX(Baseline!$F$20:$F$49,MATCH($C114,Baseline!$A$20:$A$49,0)),0))</f>
        <v/>
      </c>
      <c r="P114" s="58">
        <f>IF($A114="","",IFERROR(INDEX(Baseline!$G$20:$G$49,MATCH($C114,Baseline!$A$20:$A$49,0)),"RED"))</f>
        <v/>
      </c>
      <c r="Q114" s="58">
        <f>IF($A114="","",$A114&amp;"|"&amp;$B114&amp;"|"&amp;$C114)</f>
        <v/>
      </c>
      <c r="R114" s="59" t="n"/>
      <c r="S114" s="60" t="n"/>
    </row>
    <row r="115" ht="15" customHeight="1" s="34">
      <c r="A115" s="54" t="n"/>
      <c r="B115" s="54" t="n"/>
      <c r="C115" s="54" t="n"/>
      <c r="D115" s="55">
        <f>IF($A115="","",IFERROR(INDEX(Baseline!$B$20:$B$49,MATCH($C115,Baseline!$A$20:$A$49,0)),"Line not in baseline"))</f>
        <v/>
      </c>
      <c r="E115" s="55">
        <f>IF($A115="","",IFERROR(INDEX(Baseline!$C$20:$C$49,MATCH($C115,Baseline!$A$20:$A$49,0)),""))</f>
        <v/>
      </c>
      <c r="F115" s="56">
        <f>IF($A115="","",IFERROR(INDEX(Baseline!$E$20:$E$49,MATCH($C115,Baseline!$A$20:$A$49,0)),""))</f>
        <v/>
      </c>
      <c r="G115" s="57" t="n"/>
      <c r="H115" s="54" t="n"/>
      <c r="I115" s="54" t="n"/>
      <c r="J115" s="39">
        <f>IF($A115="","",IF($E115="Informational","GREEN",IF($G115="",IF($E115="Mandatory","RED","YELLOW"),IF($N115="Exact",IF(UPPER(TRIM($G115&amp;""))=UPPER(TRIM($F115&amp;"")),"GREEN",$P115),IF(NOT(ISNUMBER($G115)),$P115,IF($N115="Min",IF($G115&gt;=$F115,"GREEN",IF($G115&gt;=$F115-$O115,"YELLOW",$P115)),IF($N115="Max",IF($G115&lt;=$F115,"GREEN",IF($G115&lt;=$F115+$O115,"YELLOW",$P115)),IF($N115="Range",IF(ABS($G115-$F115)&lt;=$O115,"GREEN",$P115),"CHECK RULE"))))))))</f>
        <v/>
      </c>
      <c r="K115" s="39">
        <f>IF($A115="","",IF($H115="Non-Compliant","RED",IF(AND(OR($H115="Alternative Offer",$H115="Partially Compliant"),$J115="GREEN"),"YELLOW",IF(AND($J115="GREEN",ISNUMBER($R115),$R115&lt;Baseline!$B$9),"YELLOW",$J115))))</f>
        <v/>
      </c>
      <c r="L115" s="39">
        <f>IF($A115="","",IF($K115="GREEN","GREEN",IF(COUNTIFS(Exceptions!$B$5:$B$104,$A115,Exceptions!$C$5:$C$104,$B115,Exceptions!$D$5:$D$104,$C115,Exceptions!$G$5:$G$104,"Accepted",Exceptions!$H$5:$H$104,"&lt;&gt;")&gt;0,"CLEARED",$K115)))</f>
        <v/>
      </c>
      <c r="M115" s="39">
        <f>IF($A115="","",IF($H115="","Declaration missing",IF($H115="Not Stated","Not stated in quotation",IF(AND(ISNUMBER($R115),$R115&lt;Baseline!$B$9),"Low AI confidence - verify",IF(AND($H115="Fully Compliant",$J115&lt;&gt;"GREEN"),"Declared Fully - evidence differs","")))))</f>
        <v/>
      </c>
      <c r="N115" s="58">
        <f>IF($A115="","",IFERROR(INDEX(Baseline!$D$20:$D$49,MATCH($C115,Baseline!$A$20:$A$49,0)),""))</f>
        <v/>
      </c>
      <c r="O115" s="58">
        <f>IF($A115="","",IFERROR(INDEX(Baseline!$F$20:$F$49,MATCH($C115,Baseline!$A$20:$A$49,0)),0))</f>
        <v/>
      </c>
      <c r="P115" s="58">
        <f>IF($A115="","",IFERROR(INDEX(Baseline!$G$20:$G$49,MATCH($C115,Baseline!$A$20:$A$49,0)),"RED"))</f>
        <v/>
      </c>
      <c r="Q115" s="58">
        <f>IF($A115="","",$A115&amp;"|"&amp;$B115&amp;"|"&amp;$C115)</f>
        <v/>
      </c>
      <c r="R115" s="59" t="n"/>
      <c r="S115" s="60" t="n"/>
    </row>
    <row r="116" ht="15" customHeight="1" s="34">
      <c r="A116" s="54" t="n"/>
      <c r="B116" s="54" t="n"/>
      <c r="C116" s="54" t="n"/>
      <c r="D116" s="55">
        <f>IF($A116="","",IFERROR(INDEX(Baseline!$B$20:$B$49,MATCH($C116,Baseline!$A$20:$A$49,0)),"Line not in baseline"))</f>
        <v/>
      </c>
      <c r="E116" s="55">
        <f>IF($A116="","",IFERROR(INDEX(Baseline!$C$20:$C$49,MATCH($C116,Baseline!$A$20:$A$49,0)),""))</f>
        <v/>
      </c>
      <c r="F116" s="56">
        <f>IF($A116="","",IFERROR(INDEX(Baseline!$E$20:$E$49,MATCH($C116,Baseline!$A$20:$A$49,0)),""))</f>
        <v/>
      </c>
      <c r="G116" s="57" t="n"/>
      <c r="H116" s="54" t="n"/>
      <c r="I116" s="54" t="n"/>
      <c r="J116" s="39">
        <f>IF($A116="","",IF($E116="Informational","GREEN",IF($G116="",IF($E116="Mandatory","RED","YELLOW"),IF($N116="Exact",IF(UPPER(TRIM($G116&amp;""))=UPPER(TRIM($F116&amp;"")),"GREEN",$P116),IF(NOT(ISNUMBER($G116)),$P116,IF($N116="Min",IF($G116&gt;=$F116,"GREEN",IF($G116&gt;=$F116-$O116,"YELLOW",$P116)),IF($N116="Max",IF($G116&lt;=$F116,"GREEN",IF($G116&lt;=$F116+$O116,"YELLOW",$P116)),IF($N116="Range",IF(ABS($G116-$F116)&lt;=$O116,"GREEN",$P116),"CHECK RULE"))))))))</f>
        <v/>
      </c>
      <c r="K116" s="39">
        <f>IF($A116="","",IF($H116="Non-Compliant","RED",IF(AND(OR($H116="Alternative Offer",$H116="Partially Compliant"),$J116="GREEN"),"YELLOW",IF(AND($J116="GREEN",ISNUMBER($R116),$R116&lt;Baseline!$B$9),"YELLOW",$J116))))</f>
        <v/>
      </c>
      <c r="L116" s="39">
        <f>IF($A116="","",IF($K116="GREEN","GREEN",IF(COUNTIFS(Exceptions!$B$5:$B$104,$A116,Exceptions!$C$5:$C$104,$B116,Exceptions!$D$5:$D$104,$C116,Exceptions!$G$5:$G$104,"Accepted",Exceptions!$H$5:$H$104,"&lt;&gt;")&gt;0,"CLEARED",$K116)))</f>
        <v/>
      </c>
      <c r="M116" s="39">
        <f>IF($A116="","",IF($H116="","Declaration missing",IF($H116="Not Stated","Not stated in quotation",IF(AND(ISNUMBER($R116),$R116&lt;Baseline!$B$9),"Low AI confidence - verify",IF(AND($H116="Fully Compliant",$J116&lt;&gt;"GREEN"),"Declared Fully - evidence differs","")))))</f>
        <v/>
      </c>
      <c r="N116" s="58">
        <f>IF($A116="","",IFERROR(INDEX(Baseline!$D$20:$D$49,MATCH($C116,Baseline!$A$20:$A$49,0)),""))</f>
        <v/>
      </c>
      <c r="O116" s="58">
        <f>IF($A116="","",IFERROR(INDEX(Baseline!$F$20:$F$49,MATCH($C116,Baseline!$A$20:$A$49,0)),0))</f>
        <v/>
      </c>
      <c r="P116" s="58">
        <f>IF($A116="","",IFERROR(INDEX(Baseline!$G$20:$G$49,MATCH($C116,Baseline!$A$20:$A$49,0)),"RED"))</f>
        <v/>
      </c>
      <c r="Q116" s="58">
        <f>IF($A116="","",$A116&amp;"|"&amp;$B116&amp;"|"&amp;$C116)</f>
        <v/>
      </c>
      <c r="R116" s="59" t="n"/>
      <c r="S116" s="60" t="n"/>
    </row>
    <row r="117" ht="15" customHeight="1" s="34">
      <c r="A117" s="54" t="n"/>
      <c r="B117" s="54" t="n"/>
      <c r="C117" s="54" t="n"/>
      <c r="D117" s="55">
        <f>IF($A117="","",IFERROR(INDEX(Baseline!$B$20:$B$49,MATCH($C117,Baseline!$A$20:$A$49,0)),"Line not in baseline"))</f>
        <v/>
      </c>
      <c r="E117" s="55">
        <f>IF($A117="","",IFERROR(INDEX(Baseline!$C$20:$C$49,MATCH($C117,Baseline!$A$20:$A$49,0)),""))</f>
        <v/>
      </c>
      <c r="F117" s="56">
        <f>IF($A117="","",IFERROR(INDEX(Baseline!$E$20:$E$49,MATCH($C117,Baseline!$A$20:$A$49,0)),""))</f>
        <v/>
      </c>
      <c r="G117" s="57" t="n"/>
      <c r="H117" s="54" t="n"/>
      <c r="I117" s="54" t="n"/>
      <c r="J117" s="39">
        <f>IF($A117="","",IF($E117="Informational","GREEN",IF($G117="",IF($E117="Mandatory","RED","YELLOW"),IF($N117="Exact",IF(UPPER(TRIM($G117&amp;""))=UPPER(TRIM($F117&amp;"")),"GREEN",$P117),IF(NOT(ISNUMBER($G117)),$P117,IF($N117="Min",IF($G117&gt;=$F117,"GREEN",IF($G117&gt;=$F117-$O117,"YELLOW",$P117)),IF($N117="Max",IF($G117&lt;=$F117,"GREEN",IF($G117&lt;=$F117+$O117,"YELLOW",$P117)),IF($N117="Range",IF(ABS($G117-$F117)&lt;=$O117,"GREEN",$P117),"CHECK RULE"))))))))</f>
        <v/>
      </c>
      <c r="K117" s="39">
        <f>IF($A117="","",IF($H117="Non-Compliant","RED",IF(AND(OR($H117="Alternative Offer",$H117="Partially Compliant"),$J117="GREEN"),"YELLOW",IF(AND($J117="GREEN",ISNUMBER($R117),$R117&lt;Baseline!$B$9),"YELLOW",$J117))))</f>
        <v/>
      </c>
      <c r="L117" s="39">
        <f>IF($A117="","",IF($K117="GREEN","GREEN",IF(COUNTIFS(Exceptions!$B$5:$B$104,$A117,Exceptions!$C$5:$C$104,$B117,Exceptions!$D$5:$D$104,$C117,Exceptions!$G$5:$G$104,"Accepted",Exceptions!$H$5:$H$104,"&lt;&gt;")&gt;0,"CLEARED",$K117)))</f>
        <v/>
      </c>
      <c r="M117" s="39">
        <f>IF($A117="","",IF($H117="","Declaration missing",IF($H117="Not Stated","Not stated in quotation",IF(AND(ISNUMBER($R117),$R117&lt;Baseline!$B$9),"Low AI confidence - verify",IF(AND($H117="Fully Compliant",$J117&lt;&gt;"GREEN"),"Declared Fully - evidence differs","")))))</f>
        <v/>
      </c>
      <c r="N117" s="58">
        <f>IF($A117="","",IFERROR(INDEX(Baseline!$D$20:$D$49,MATCH($C117,Baseline!$A$20:$A$49,0)),""))</f>
        <v/>
      </c>
      <c r="O117" s="58">
        <f>IF($A117="","",IFERROR(INDEX(Baseline!$F$20:$F$49,MATCH($C117,Baseline!$A$20:$A$49,0)),0))</f>
        <v/>
      </c>
      <c r="P117" s="58">
        <f>IF($A117="","",IFERROR(INDEX(Baseline!$G$20:$G$49,MATCH($C117,Baseline!$A$20:$A$49,0)),"RED"))</f>
        <v/>
      </c>
      <c r="Q117" s="58">
        <f>IF($A117="","",$A117&amp;"|"&amp;$B117&amp;"|"&amp;$C117)</f>
        <v/>
      </c>
      <c r="R117" s="59" t="n"/>
      <c r="S117" s="60" t="n"/>
    </row>
    <row r="118" ht="15" customHeight="1" s="34">
      <c r="A118" s="54" t="n"/>
      <c r="B118" s="54" t="n"/>
      <c r="C118" s="54" t="n"/>
      <c r="D118" s="55">
        <f>IF($A118="","",IFERROR(INDEX(Baseline!$B$20:$B$49,MATCH($C118,Baseline!$A$20:$A$49,0)),"Line not in baseline"))</f>
        <v/>
      </c>
      <c r="E118" s="55">
        <f>IF($A118="","",IFERROR(INDEX(Baseline!$C$20:$C$49,MATCH($C118,Baseline!$A$20:$A$49,0)),""))</f>
        <v/>
      </c>
      <c r="F118" s="56">
        <f>IF($A118="","",IFERROR(INDEX(Baseline!$E$20:$E$49,MATCH($C118,Baseline!$A$20:$A$49,0)),""))</f>
        <v/>
      </c>
      <c r="G118" s="57" t="n"/>
      <c r="H118" s="54" t="n"/>
      <c r="I118" s="54" t="n"/>
      <c r="J118" s="39">
        <f>IF($A118="","",IF($E118="Informational","GREEN",IF($G118="",IF($E118="Mandatory","RED","YELLOW"),IF($N118="Exact",IF(UPPER(TRIM($G118&amp;""))=UPPER(TRIM($F118&amp;"")),"GREEN",$P118),IF(NOT(ISNUMBER($G118)),$P118,IF($N118="Min",IF($G118&gt;=$F118,"GREEN",IF($G118&gt;=$F118-$O118,"YELLOW",$P118)),IF($N118="Max",IF($G118&lt;=$F118,"GREEN",IF($G118&lt;=$F118+$O118,"YELLOW",$P118)),IF($N118="Range",IF(ABS($G118-$F118)&lt;=$O118,"GREEN",$P118),"CHECK RULE"))))))))</f>
        <v/>
      </c>
      <c r="K118" s="39">
        <f>IF($A118="","",IF($H118="Non-Compliant","RED",IF(AND(OR($H118="Alternative Offer",$H118="Partially Compliant"),$J118="GREEN"),"YELLOW",IF(AND($J118="GREEN",ISNUMBER($R118),$R118&lt;Baseline!$B$9),"YELLOW",$J118))))</f>
        <v/>
      </c>
      <c r="L118" s="39">
        <f>IF($A118="","",IF($K118="GREEN","GREEN",IF(COUNTIFS(Exceptions!$B$5:$B$104,$A118,Exceptions!$C$5:$C$104,$B118,Exceptions!$D$5:$D$104,$C118,Exceptions!$G$5:$G$104,"Accepted",Exceptions!$H$5:$H$104,"&lt;&gt;")&gt;0,"CLEARED",$K118)))</f>
        <v/>
      </c>
      <c r="M118" s="39">
        <f>IF($A118="","",IF($H118="","Declaration missing",IF($H118="Not Stated","Not stated in quotation",IF(AND(ISNUMBER($R118),$R118&lt;Baseline!$B$9),"Low AI confidence - verify",IF(AND($H118="Fully Compliant",$J118&lt;&gt;"GREEN"),"Declared Fully - evidence differs","")))))</f>
        <v/>
      </c>
      <c r="N118" s="58">
        <f>IF($A118="","",IFERROR(INDEX(Baseline!$D$20:$D$49,MATCH($C118,Baseline!$A$20:$A$49,0)),""))</f>
        <v/>
      </c>
      <c r="O118" s="58">
        <f>IF($A118="","",IFERROR(INDEX(Baseline!$F$20:$F$49,MATCH($C118,Baseline!$A$20:$A$49,0)),0))</f>
        <v/>
      </c>
      <c r="P118" s="58">
        <f>IF($A118="","",IFERROR(INDEX(Baseline!$G$20:$G$49,MATCH($C118,Baseline!$A$20:$A$49,0)),"RED"))</f>
        <v/>
      </c>
      <c r="Q118" s="58">
        <f>IF($A118="","",$A118&amp;"|"&amp;$B118&amp;"|"&amp;$C118)</f>
        <v/>
      </c>
      <c r="R118" s="59" t="n"/>
      <c r="S118" s="60" t="n"/>
    </row>
    <row r="119" ht="15" customHeight="1" s="34">
      <c r="A119" s="54" t="n"/>
      <c r="B119" s="54" t="n"/>
      <c r="C119" s="54" t="n"/>
      <c r="D119" s="55">
        <f>IF($A119="","",IFERROR(INDEX(Baseline!$B$20:$B$49,MATCH($C119,Baseline!$A$20:$A$49,0)),"Line not in baseline"))</f>
        <v/>
      </c>
      <c r="E119" s="55">
        <f>IF($A119="","",IFERROR(INDEX(Baseline!$C$20:$C$49,MATCH($C119,Baseline!$A$20:$A$49,0)),""))</f>
        <v/>
      </c>
      <c r="F119" s="56">
        <f>IF($A119="","",IFERROR(INDEX(Baseline!$E$20:$E$49,MATCH($C119,Baseline!$A$20:$A$49,0)),""))</f>
        <v/>
      </c>
      <c r="G119" s="57" t="n"/>
      <c r="H119" s="54" t="n"/>
      <c r="I119" s="54" t="n"/>
      <c r="J119" s="39">
        <f>IF($A119="","",IF($E119="Informational","GREEN",IF($G119="",IF($E119="Mandatory","RED","YELLOW"),IF($N119="Exact",IF(UPPER(TRIM($G119&amp;""))=UPPER(TRIM($F119&amp;"")),"GREEN",$P119),IF(NOT(ISNUMBER($G119)),$P119,IF($N119="Min",IF($G119&gt;=$F119,"GREEN",IF($G119&gt;=$F119-$O119,"YELLOW",$P119)),IF($N119="Max",IF($G119&lt;=$F119,"GREEN",IF($G119&lt;=$F119+$O119,"YELLOW",$P119)),IF($N119="Range",IF(ABS($G119-$F119)&lt;=$O119,"GREEN",$P119),"CHECK RULE"))))))))</f>
        <v/>
      </c>
      <c r="K119" s="39">
        <f>IF($A119="","",IF($H119="Non-Compliant","RED",IF(AND(OR($H119="Alternative Offer",$H119="Partially Compliant"),$J119="GREEN"),"YELLOW",IF(AND($J119="GREEN",ISNUMBER($R119),$R119&lt;Baseline!$B$9),"YELLOW",$J119))))</f>
        <v/>
      </c>
      <c r="L119" s="39">
        <f>IF($A119="","",IF($K119="GREEN","GREEN",IF(COUNTIFS(Exceptions!$B$5:$B$104,$A119,Exceptions!$C$5:$C$104,$B119,Exceptions!$D$5:$D$104,$C119,Exceptions!$G$5:$G$104,"Accepted",Exceptions!$H$5:$H$104,"&lt;&gt;")&gt;0,"CLEARED",$K119)))</f>
        <v/>
      </c>
      <c r="M119" s="39">
        <f>IF($A119="","",IF($H119="","Declaration missing",IF($H119="Not Stated","Not stated in quotation",IF(AND(ISNUMBER($R119),$R119&lt;Baseline!$B$9),"Low AI confidence - verify",IF(AND($H119="Fully Compliant",$J119&lt;&gt;"GREEN"),"Declared Fully - evidence differs","")))))</f>
        <v/>
      </c>
      <c r="N119" s="58">
        <f>IF($A119="","",IFERROR(INDEX(Baseline!$D$20:$D$49,MATCH($C119,Baseline!$A$20:$A$49,0)),""))</f>
        <v/>
      </c>
      <c r="O119" s="58">
        <f>IF($A119="","",IFERROR(INDEX(Baseline!$F$20:$F$49,MATCH($C119,Baseline!$A$20:$A$49,0)),0))</f>
        <v/>
      </c>
      <c r="P119" s="58">
        <f>IF($A119="","",IFERROR(INDEX(Baseline!$G$20:$G$49,MATCH($C119,Baseline!$A$20:$A$49,0)),"RED"))</f>
        <v/>
      </c>
      <c r="Q119" s="58">
        <f>IF($A119="","",$A119&amp;"|"&amp;$B119&amp;"|"&amp;$C119)</f>
        <v/>
      </c>
      <c r="R119" s="59" t="n"/>
      <c r="S119" s="60" t="n"/>
    </row>
    <row r="120" ht="15" customHeight="1" s="34">
      <c r="A120" s="54" t="n"/>
      <c r="B120" s="54" t="n"/>
      <c r="C120" s="54" t="n"/>
      <c r="D120" s="55">
        <f>IF($A120="","",IFERROR(INDEX(Baseline!$B$20:$B$49,MATCH($C120,Baseline!$A$20:$A$49,0)),"Line not in baseline"))</f>
        <v/>
      </c>
      <c r="E120" s="55">
        <f>IF($A120="","",IFERROR(INDEX(Baseline!$C$20:$C$49,MATCH($C120,Baseline!$A$20:$A$49,0)),""))</f>
        <v/>
      </c>
      <c r="F120" s="56">
        <f>IF($A120="","",IFERROR(INDEX(Baseline!$E$20:$E$49,MATCH($C120,Baseline!$A$20:$A$49,0)),""))</f>
        <v/>
      </c>
      <c r="G120" s="57" t="n"/>
      <c r="H120" s="54" t="n"/>
      <c r="I120" s="54" t="n"/>
      <c r="J120" s="39">
        <f>IF($A120="","",IF($E120="Informational","GREEN",IF($G120="",IF($E120="Mandatory","RED","YELLOW"),IF($N120="Exact",IF(UPPER(TRIM($G120&amp;""))=UPPER(TRIM($F120&amp;"")),"GREEN",$P120),IF(NOT(ISNUMBER($G120)),$P120,IF($N120="Min",IF($G120&gt;=$F120,"GREEN",IF($G120&gt;=$F120-$O120,"YELLOW",$P120)),IF($N120="Max",IF($G120&lt;=$F120,"GREEN",IF($G120&lt;=$F120+$O120,"YELLOW",$P120)),IF($N120="Range",IF(ABS($G120-$F120)&lt;=$O120,"GREEN",$P120),"CHECK RULE"))))))))</f>
        <v/>
      </c>
      <c r="K120" s="39">
        <f>IF($A120="","",IF($H120="Non-Compliant","RED",IF(AND(OR($H120="Alternative Offer",$H120="Partially Compliant"),$J120="GREEN"),"YELLOW",IF(AND($J120="GREEN",ISNUMBER($R120),$R120&lt;Baseline!$B$9),"YELLOW",$J120))))</f>
        <v/>
      </c>
      <c r="L120" s="39">
        <f>IF($A120="","",IF($K120="GREEN","GREEN",IF(COUNTIFS(Exceptions!$B$5:$B$104,$A120,Exceptions!$C$5:$C$104,$B120,Exceptions!$D$5:$D$104,$C120,Exceptions!$G$5:$G$104,"Accepted",Exceptions!$H$5:$H$104,"&lt;&gt;")&gt;0,"CLEARED",$K120)))</f>
        <v/>
      </c>
      <c r="M120" s="39">
        <f>IF($A120="","",IF($H120="","Declaration missing",IF($H120="Not Stated","Not stated in quotation",IF(AND(ISNUMBER($R120),$R120&lt;Baseline!$B$9),"Low AI confidence - verify",IF(AND($H120="Fully Compliant",$J120&lt;&gt;"GREEN"),"Declared Fully - evidence differs","")))))</f>
        <v/>
      </c>
      <c r="N120" s="58">
        <f>IF($A120="","",IFERROR(INDEX(Baseline!$D$20:$D$49,MATCH($C120,Baseline!$A$20:$A$49,0)),""))</f>
        <v/>
      </c>
      <c r="O120" s="58">
        <f>IF($A120="","",IFERROR(INDEX(Baseline!$F$20:$F$49,MATCH($C120,Baseline!$A$20:$A$49,0)),0))</f>
        <v/>
      </c>
      <c r="P120" s="58">
        <f>IF($A120="","",IFERROR(INDEX(Baseline!$G$20:$G$49,MATCH($C120,Baseline!$A$20:$A$49,0)),"RED"))</f>
        <v/>
      </c>
      <c r="Q120" s="58">
        <f>IF($A120="","",$A120&amp;"|"&amp;$B120&amp;"|"&amp;$C120)</f>
        <v/>
      </c>
      <c r="R120" s="59" t="n"/>
      <c r="S120" s="60" t="n"/>
    </row>
    <row r="121" ht="15" customHeight="1" s="34">
      <c r="A121" s="54" t="n"/>
      <c r="B121" s="54" t="n"/>
      <c r="C121" s="54" t="n"/>
      <c r="D121" s="55">
        <f>IF($A121="","",IFERROR(INDEX(Baseline!$B$20:$B$49,MATCH($C121,Baseline!$A$20:$A$49,0)),"Line not in baseline"))</f>
        <v/>
      </c>
      <c r="E121" s="55">
        <f>IF($A121="","",IFERROR(INDEX(Baseline!$C$20:$C$49,MATCH($C121,Baseline!$A$20:$A$49,0)),""))</f>
        <v/>
      </c>
      <c r="F121" s="56">
        <f>IF($A121="","",IFERROR(INDEX(Baseline!$E$20:$E$49,MATCH($C121,Baseline!$A$20:$A$49,0)),""))</f>
        <v/>
      </c>
      <c r="G121" s="57" t="n"/>
      <c r="H121" s="54" t="n"/>
      <c r="I121" s="54" t="n"/>
      <c r="J121" s="39">
        <f>IF($A121="","",IF($E121="Informational","GREEN",IF($G121="",IF($E121="Mandatory","RED","YELLOW"),IF($N121="Exact",IF(UPPER(TRIM($G121&amp;""))=UPPER(TRIM($F121&amp;"")),"GREEN",$P121),IF(NOT(ISNUMBER($G121)),$P121,IF($N121="Min",IF($G121&gt;=$F121,"GREEN",IF($G121&gt;=$F121-$O121,"YELLOW",$P121)),IF($N121="Max",IF($G121&lt;=$F121,"GREEN",IF($G121&lt;=$F121+$O121,"YELLOW",$P121)),IF($N121="Range",IF(ABS($G121-$F121)&lt;=$O121,"GREEN",$P121),"CHECK RULE"))))))))</f>
        <v/>
      </c>
      <c r="K121" s="39">
        <f>IF($A121="","",IF($H121="Non-Compliant","RED",IF(AND(OR($H121="Alternative Offer",$H121="Partially Compliant"),$J121="GREEN"),"YELLOW",IF(AND($J121="GREEN",ISNUMBER($R121),$R121&lt;Baseline!$B$9),"YELLOW",$J121))))</f>
        <v/>
      </c>
      <c r="L121" s="39">
        <f>IF($A121="","",IF($K121="GREEN","GREEN",IF(COUNTIFS(Exceptions!$B$5:$B$104,$A121,Exceptions!$C$5:$C$104,$B121,Exceptions!$D$5:$D$104,$C121,Exceptions!$G$5:$G$104,"Accepted",Exceptions!$H$5:$H$104,"&lt;&gt;")&gt;0,"CLEARED",$K121)))</f>
        <v/>
      </c>
      <c r="M121" s="39">
        <f>IF($A121="","",IF($H121="","Declaration missing",IF($H121="Not Stated","Not stated in quotation",IF(AND(ISNUMBER($R121),$R121&lt;Baseline!$B$9),"Low AI confidence - verify",IF(AND($H121="Fully Compliant",$J121&lt;&gt;"GREEN"),"Declared Fully - evidence differs","")))))</f>
        <v/>
      </c>
      <c r="N121" s="58">
        <f>IF($A121="","",IFERROR(INDEX(Baseline!$D$20:$D$49,MATCH($C121,Baseline!$A$20:$A$49,0)),""))</f>
        <v/>
      </c>
      <c r="O121" s="58">
        <f>IF($A121="","",IFERROR(INDEX(Baseline!$F$20:$F$49,MATCH($C121,Baseline!$A$20:$A$49,0)),0))</f>
        <v/>
      </c>
      <c r="P121" s="58">
        <f>IF($A121="","",IFERROR(INDEX(Baseline!$G$20:$G$49,MATCH($C121,Baseline!$A$20:$A$49,0)),"RED"))</f>
        <v/>
      </c>
      <c r="Q121" s="58">
        <f>IF($A121="","",$A121&amp;"|"&amp;$B121&amp;"|"&amp;$C121)</f>
        <v/>
      </c>
      <c r="R121" s="59" t="n"/>
      <c r="S121" s="60" t="n"/>
    </row>
    <row r="122" ht="15" customHeight="1" s="34">
      <c r="A122" s="54" t="n"/>
      <c r="B122" s="54" t="n"/>
      <c r="C122" s="54" t="n"/>
      <c r="D122" s="55">
        <f>IF($A122="","",IFERROR(INDEX(Baseline!$B$20:$B$49,MATCH($C122,Baseline!$A$20:$A$49,0)),"Line not in baseline"))</f>
        <v/>
      </c>
      <c r="E122" s="55">
        <f>IF($A122="","",IFERROR(INDEX(Baseline!$C$20:$C$49,MATCH($C122,Baseline!$A$20:$A$49,0)),""))</f>
        <v/>
      </c>
      <c r="F122" s="56">
        <f>IF($A122="","",IFERROR(INDEX(Baseline!$E$20:$E$49,MATCH($C122,Baseline!$A$20:$A$49,0)),""))</f>
        <v/>
      </c>
      <c r="G122" s="57" t="n"/>
      <c r="H122" s="54" t="n"/>
      <c r="I122" s="54" t="n"/>
      <c r="J122" s="39">
        <f>IF($A122="","",IF($E122="Informational","GREEN",IF($G122="",IF($E122="Mandatory","RED","YELLOW"),IF($N122="Exact",IF(UPPER(TRIM($G122&amp;""))=UPPER(TRIM($F122&amp;"")),"GREEN",$P122),IF(NOT(ISNUMBER($G122)),$P122,IF($N122="Min",IF($G122&gt;=$F122,"GREEN",IF($G122&gt;=$F122-$O122,"YELLOW",$P122)),IF($N122="Max",IF($G122&lt;=$F122,"GREEN",IF($G122&lt;=$F122+$O122,"YELLOW",$P122)),IF($N122="Range",IF(ABS($G122-$F122)&lt;=$O122,"GREEN",$P122),"CHECK RULE"))))))))</f>
        <v/>
      </c>
      <c r="K122" s="39">
        <f>IF($A122="","",IF($H122="Non-Compliant","RED",IF(AND(OR($H122="Alternative Offer",$H122="Partially Compliant"),$J122="GREEN"),"YELLOW",IF(AND($J122="GREEN",ISNUMBER($R122),$R122&lt;Baseline!$B$9),"YELLOW",$J122))))</f>
        <v/>
      </c>
      <c r="L122" s="39">
        <f>IF($A122="","",IF($K122="GREEN","GREEN",IF(COUNTIFS(Exceptions!$B$5:$B$104,$A122,Exceptions!$C$5:$C$104,$B122,Exceptions!$D$5:$D$104,$C122,Exceptions!$G$5:$G$104,"Accepted",Exceptions!$H$5:$H$104,"&lt;&gt;")&gt;0,"CLEARED",$K122)))</f>
        <v/>
      </c>
      <c r="M122" s="39">
        <f>IF($A122="","",IF($H122="","Declaration missing",IF($H122="Not Stated","Not stated in quotation",IF(AND(ISNUMBER($R122),$R122&lt;Baseline!$B$9),"Low AI confidence - verify",IF(AND($H122="Fully Compliant",$J122&lt;&gt;"GREEN"),"Declared Fully - evidence differs","")))))</f>
        <v/>
      </c>
      <c r="N122" s="58">
        <f>IF($A122="","",IFERROR(INDEX(Baseline!$D$20:$D$49,MATCH($C122,Baseline!$A$20:$A$49,0)),""))</f>
        <v/>
      </c>
      <c r="O122" s="58">
        <f>IF($A122="","",IFERROR(INDEX(Baseline!$F$20:$F$49,MATCH($C122,Baseline!$A$20:$A$49,0)),0))</f>
        <v/>
      </c>
      <c r="P122" s="58">
        <f>IF($A122="","",IFERROR(INDEX(Baseline!$G$20:$G$49,MATCH($C122,Baseline!$A$20:$A$49,0)),"RED"))</f>
        <v/>
      </c>
      <c r="Q122" s="58">
        <f>IF($A122="","",$A122&amp;"|"&amp;$B122&amp;"|"&amp;$C122)</f>
        <v/>
      </c>
      <c r="R122" s="59" t="n"/>
      <c r="S122" s="60" t="n"/>
    </row>
    <row r="123" ht="15" customHeight="1" s="34">
      <c r="A123" s="54" t="n"/>
      <c r="B123" s="54" t="n"/>
      <c r="C123" s="54" t="n"/>
      <c r="D123" s="55">
        <f>IF($A123="","",IFERROR(INDEX(Baseline!$B$20:$B$49,MATCH($C123,Baseline!$A$20:$A$49,0)),"Line not in baseline"))</f>
        <v/>
      </c>
      <c r="E123" s="55">
        <f>IF($A123="","",IFERROR(INDEX(Baseline!$C$20:$C$49,MATCH($C123,Baseline!$A$20:$A$49,0)),""))</f>
        <v/>
      </c>
      <c r="F123" s="56">
        <f>IF($A123="","",IFERROR(INDEX(Baseline!$E$20:$E$49,MATCH($C123,Baseline!$A$20:$A$49,0)),""))</f>
        <v/>
      </c>
      <c r="G123" s="57" t="n"/>
      <c r="H123" s="54" t="n"/>
      <c r="I123" s="54" t="n"/>
      <c r="J123" s="39">
        <f>IF($A123="","",IF($E123="Informational","GREEN",IF($G123="",IF($E123="Mandatory","RED","YELLOW"),IF($N123="Exact",IF(UPPER(TRIM($G123&amp;""))=UPPER(TRIM($F123&amp;"")),"GREEN",$P123),IF(NOT(ISNUMBER($G123)),$P123,IF($N123="Min",IF($G123&gt;=$F123,"GREEN",IF($G123&gt;=$F123-$O123,"YELLOW",$P123)),IF($N123="Max",IF($G123&lt;=$F123,"GREEN",IF($G123&lt;=$F123+$O123,"YELLOW",$P123)),IF($N123="Range",IF(ABS($G123-$F123)&lt;=$O123,"GREEN",$P123),"CHECK RULE"))))))))</f>
        <v/>
      </c>
      <c r="K123" s="39">
        <f>IF($A123="","",IF($H123="Non-Compliant","RED",IF(AND(OR($H123="Alternative Offer",$H123="Partially Compliant"),$J123="GREEN"),"YELLOW",IF(AND($J123="GREEN",ISNUMBER($R123),$R123&lt;Baseline!$B$9),"YELLOW",$J123))))</f>
        <v/>
      </c>
      <c r="L123" s="39">
        <f>IF($A123="","",IF($K123="GREEN","GREEN",IF(COUNTIFS(Exceptions!$B$5:$B$104,$A123,Exceptions!$C$5:$C$104,$B123,Exceptions!$D$5:$D$104,$C123,Exceptions!$G$5:$G$104,"Accepted",Exceptions!$H$5:$H$104,"&lt;&gt;")&gt;0,"CLEARED",$K123)))</f>
        <v/>
      </c>
      <c r="M123" s="39">
        <f>IF($A123="","",IF($H123="","Declaration missing",IF($H123="Not Stated","Not stated in quotation",IF(AND(ISNUMBER($R123),$R123&lt;Baseline!$B$9),"Low AI confidence - verify",IF(AND($H123="Fully Compliant",$J123&lt;&gt;"GREEN"),"Declared Fully - evidence differs","")))))</f>
        <v/>
      </c>
      <c r="N123" s="58">
        <f>IF($A123="","",IFERROR(INDEX(Baseline!$D$20:$D$49,MATCH($C123,Baseline!$A$20:$A$49,0)),""))</f>
        <v/>
      </c>
      <c r="O123" s="58">
        <f>IF($A123="","",IFERROR(INDEX(Baseline!$F$20:$F$49,MATCH($C123,Baseline!$A$20:$A$49,0)),0))</f>
        <v/>
      </c>
      <c r="P123" s="58">
        <f>IF($A123="","",IFERROR(INDEX(Baseline!$G$20:$G$49,MATCH($C123,Baseline!$A$20:$A$49,0)),"RED"))</f>
        <v/>
      </c>
      <c r="Q123" s="58">
        <f>IF($A123="","",$A123&amp;"|"&amp;$B123&amp;"|"&amp;$C123)</f>
        <v/>
      </c>
      <c r="R123" s="59" t="n"/>
      <c r="S123" s="60" t="n"/>
    </row>
    <row r="124" ht="15" customHeight="1" s="34">
      <c r="A124" s="54" t="n"/>
      <c r="B124" s="54" t="n"/>
      <c r="C124" s="54" t="n"/>
      <c r="D124" s="55">
        <f>IF($A124="","",IFERROR(INDEX(Baseline!$B$20:$B$49,MATCH($C124,Baseline!$A$20:$A$49,0)),"Line not in baseline"))</f>
        <v/>
      </c>
      <c r="E124" s="55">
        <f>IF($A124="","",IFERROR(INDEX(Baseline!$C$20:$C$49,MATCH($C124,Baseline!$A$20:$A$49,0)),""))</f>
        <v/>
      </c>
      <c r="F124" s="56">
        <f>IF($A124="","",IFERROR(INDEX(Baseline!$E$20:$E$49,MATCH($C124,Baseline!$A$20:$A$49,0)),""))</f>
        <v/>
      </c>
      <c r="G124" s="57" t="n"/>
      <c r="H124" s="54" t="n"/>
      <c r="I124" s="54" t="n"/>
      <c r="J124" s="39">
        <f>IF($A124="","",IF($E124="Informational","GREEN",IF($G124="",IF($E124="Mandatory","RED","YELLOW"),IF($N124="Exact",IF(UPPER(TRIM($G124&amp;""))=UPPER(TRIM($F124&amp;"")),"GREEN",$P124),IF(NOT(ISNUMBER($G124)),$P124,IF($N124="Min",IF($G124&gt;=$F124,"GREEN",IF($G124&gt;=$F124-$O124,"YELLOW",$P124)),IF($N124="Max",IF($G124&lt;=$F124,"GREEN",IF($G124&lt;=$F124+$O124,"YELLOW",$P124)),IF($N124="Range",IF(ABS($G124-$F124)&lt;=$O124,"GREEN",$P124),"CHECK RULE"))))))))</f>
        <v/>
      </c>
      <c r="K124" s="39">
        <f>IF($A124="","",IF($H124="Non-Compliant","RED",IF(AND(OR($H124="Alternative Offer",$H124="Partially Compliant"),$J124="GREEN"),"YELLOW",IF(AND($J124="GREEN",ISNUMBER($R124),$R124&lt;Baseline!$B$9),"YELLOW",$J124))))</f>
        <v/>
      </c>
      <c r="L124" s="39">
        <f>IF($A124="","",IF($K124="GREEN","GREEN",IF(COUNTIFS(Exceptions!$B$5:$B$104,$A124,Exceptions!$C$5:$C$104,$B124,Exceptions!$D$5:$D$104,$C124,Exceptions!$G$5:$G$104,"Accepted",Exceptions!$H$5:$H$104,"&lt;&gt;")&gt;0,"CLEARED",$K124)))</f>
        <v/>
      </c>
      <c r="M124" s="39">
        <f>IF($A124="","",IF($H124="","Declaration missing",IF($H124="Not Stated","Not stated in quotation",IF(AND(ISNUMBER($R124),$R124&lt;Baseline!$B$9),"Low AI confidence - verify",IF(AND($H124="Fully Compliant",$J124&lt;&gt;"GREEN"),"Declared Fully - evidence differs","")))))</f>
        <v/>
      </c>
      <c r="N124" s="58">
        <f>IF($A124="","",IFERROR(INDEX(Baseline!$D$20:$D$49,MATCH($C124,Baseline!$A$20:$A$49,0)),""))</f>
        <v/>
      </c>
      <c r="O124" s="58">
        <f>IF($A124="","",IFERROR(INDEX(Baseline!$F$20:$F$49,MATCH($C124,Baseline!$A$20:$A$49,0)),0))</f>
        <v/>
      </c>
      <c r="P124" s="58">
        <f>IF($A124="","",IFERROR(INDEX(Baseline!$G$20:$G$49,MATCH($C124,Baseline!$A$20:$A$49,0)),"RED"))</f>
        <v/>
      </c>
      <c r="Q124" s="58">
        <f>IF($A124="","",$A124&amp;"|"&amp;$B124&amp;"|"&amp;$C124)</f>
        <v/>
      </c>
      <c r="R124" s="59" t="n"/>
      <c r="S124" s="60" t="n"/>
    </row>
    <row r="125" ht="15" customHeight="1" s="34">
      <c r="A125" s="54" t="n"/>
      <c r="B125" s="54" t="n"/>
      <c r="C125" s="54" t="n"/>
      <c r="D125" s="55">
        <f>IF($A125="","",IFERROR(INDEX(Baseline!$B$20:$B$49,MATCH($C125,Baseline!$A$20:$A$49,0)),"Line not in baseline"))</f>
        <v/>
      </c>
      <c r="E125" s="55">
        <f>IF($A125="","",IFERROR(INDEX(Baseline!$C$20:$C$49,MATCH($C125,Baseline!$A$20:$A$49,0)),""))</f>
        <v/>
      </c>
      <c r="F125" s="56">
        <f>IF($A125="","",IFERROR(INDEX(Baseline!$E$20:$E$49,MATCH($C125,Baseline!$A$20:$A$49,0)),""))</f>
        <v/>
      </c>
      <c r="G125" s="57" t="n"/>
      <c r="H125" s="54" t="n"/>
      <c r="I125" s="54" t="n"/>
      <c r="J125" s="39">
        <f>IF($A125="","",IF($E125="Informational","GREEN",IF($G125="",IF($E125="Mandatory","RED","YELLOW"),IF($N125="Exact",IF(UPPER(TRIM($G125&amp;""))=UPPER(TRIM($F125&amp;"")),"GREEN",$P125),IF(NOT(ISNUMBER($G125)),$P125,IF($N125="Min",IF($G125&gt;=$F125,"GREEN",IF($G125&gt;=$F125-$O125,"YELLOW",$P125)),IF($N125="Max",IF($G125&lt;=$F125,"GREEN",IF($G125&lt;=$F125+$O125,"YELLOW",$P125)),IF($N125="Range",IF(ABS($G125-$F125)&lt;=$O125,"GREEN",$P125),"CHECK RULE"))))))))</f>
        <v/>
      </c>
      <c r="K125" s="39">
        <f>IF($A125="","",IF($H125="Non-Compliant","RED",IF(AND(OR($H125="Alternative Offer",$H125="Partially Compliant"),$J125="GREEN"),"YELLOW",IF(AND($J125="GREEN",ISNUMBER($R125),$R125&lt;Baseline!$B$9),"YELLOW",$J125))))</f>
        <v/>
      </c>
      <c r="L125" s="39">
        <f>IF($A125="","",IF($K125="GREEN","GREEN",IF(COUNTIFS(Exceptions!$B$5:$B$104,$A125,Exceptions!$C$5:$C$104,$B125,Exceptions!$D$5:$D$104,$C125,Exceptions!$G$5:$G$104,"Accepted",Exceptions!$H$5:$H$104,"&lt;&gt;")&gt;0,"CLEARED",$K125)))</f>
        <v/>
      </c>
      <c r="M125" s="39">
        <f>IF($A125="","",IF($H125="","Declaration missing",IF($H125="Not Stated","Not stated in quotation",IF(AND(ISNUMBER($R125),$R125&lt;Baseline!$B$9),"Low AI confidence - verify",IF(AND($H125="Fully Compliant",$J125&lt;&gt;"GREEN"),"Declared Fully - evidence differs","")))))</f>
        <v/>
      </c>
      <c r="N125" s="58">
        <f>IF($A125="","",IFERROR(INDEX(Baseline!$D$20:$D$49,MATCH($C125,Baseline!$A$20:$A$49,0)),""))</f>
        <v/>
      </c>
      <c r="O125" s="58">
        <f>IF($A125="","",IFERROR(INDEX(Baseline!$F$20:$F$49,MATCH($C125,Baseline!$A$20:$A$49,0)),0))</f>
        <v/>
      </c>
      <c r="P125" s="58">
        <f>IF($A125="","",IFERROR(INDEX(Baseline!$G$20:$G$49,MATCH($C125,Baseline!$A$20:$A$49,0)),"RED"))</f>
        <v/>
      </c>
      <c r="Q125" s="58">
        <f>IF($A125="","",$A125&amp;"|"&amp;$B125&amp;"|"&amp;$C125)</f>
        <v/>
      </c>
      <c r="R125" s="59" t="n"/>
      <c r="S125" s="60" t="n"/>
    </row>
    <row r="126" ht="15" customHeight="1" s="34">
      <c r="A126" s="54" t="n"/>
      <c r="B126" s="54" t="n"/>
      <c r="C126" s="54" t="n"/>
      <c r="D126" s="55">
        <f>IF($A126="","",IFERROR(INDEX(Baseline!$B$20:$B$49,MATCH($C126,Baseline!$A$20:$A$49,0)),"Line not in baseline"))</f>
        <v/>
      </c>
      <c r="E126" s="55">
        <f>IF($A126="","",IFERROR(INDEX(Baseline!$C$20:$C$49,MATCH($C126,Baseline!$A$20:$A$49,0)),""))</f>
        <v/>
      </c>
      <c r="F126" s="56">
        <f>IF($A126="","",IFERROR(INDEX(Baseline!$E$20:$E$49,MATCH($C126,Baseline!$A$20:$A$49,0)),""))</f>
        <v/>
      </c>
      <c r="G126" s="57" t="n"/>
      <c r="H126" s="54" t="n"/>
      <c r="I126" s="54" t="n"/>
      <c r="J126" s="39">
        <f>IF($A126="","",IF($E126="Informational","GREEN",IF($G126="",IF($E126="Mandatory","RED","YELLOW"),IF($N126="Exact",IF(UPPER(TRIM($G126&amp;""))=UPPER(TRIM($F126&amp;"")),"GREEN",$P126),IF(NOT(ISNUMBER($G126)),$P126,IF($N126="Min",IF($G126&gt;=$F126,"GREEN",IF($G126&gt;=$F126-$O126,"YELLOW",$P126)),IF($N126="Max",IF($G126&lt;=$F126,"GREEN",IF($G126&lt;=$F126+$O126,"YELLOW",$P126)),IF($N126="Range",IF(ABS($G126-$F126)&lt;=$O126,"GREEN",$P126),"CHECK RULE"))))))))</f>
        <v/>
      </c>
      <c r="K126" s="39">
        <f>IF($A126="","",IF($H126="Non-Compliant","RED",IF(AND(OR($H126="Alternative Offer",$H126="Partially Compliant"),$J126="GREEN"),"YELLOW",IF(AND($J126="GREEN",ISNUMBER($R126),$R126&lt;Baseline!$B$9),"YELLOW",$J126))))</f>
        <v/>
      </c>
      <c r="L126" s="39">
        <f>IF($A126="","",IF($K126="GREEN","GREEN",IF(COUNTIFS(Exceptions!$B$5:$B$104,$A126,Exceptions!$C$5:$C$104,$B126,Exceptions!$D$5:$D$104,$C126,Exceptions!$G$5:$G$104,"Accepted",Exceptions!$H$5:$H$104,"&lt;&gt;")&gt;0,"CLEARED",$K126)))</f>
        <v/>
      </c>
      <c r="M126" s="39">
        <f>IF($A126="","",IF($H126="","Declaration missing",IF($H126="Not Stated","Not stated in quotation",IF(AND(ISNUMBER($R126),$R126&lt;Baseline!$B$9),"Low AI confidence - verify",IF(AND($H126="Fully Compliant",$J126&lt;&gt;"GREEN"),"Declared Fully - evidence differs","")))))</f>
        <v/>
      </c>
      <c r="N126" s="58">
        <f>IF($A126="","",IFERROR(INDEX(Baseline!$D$20:$D$49,MATCH($C126,Baseline!$A$20:$A$49,0)),""))</f>
        <v/>
      </c>
      <c r="O126" s="58">
        <f>IF($A126="","",IFERROR(INDEX(Baseline!$F$20:$F$49,MATCH($C126,Baseline!$A$20:$A$49,0)),0))</f>
        <v/>
      </c>
      <c r="P126" s="58">
        <f>IF($A126="","",IFERROR(INDEX(Baseline!$G$20:$G$49,MATCH($C126,Baseline!$A$20:$A$49,0)),"RED"))</f>
        <v/>
      </c>
      <c r="Q126" s="58">
        <f>IF($A126="","",$A126&amp;"|"&amp;$B126&amp;"|"&amp;$C126)</f>
        <v/>
      </c>
      <c r="R126" s="59" t="n"/>
      <c r="S126" s="60" t="n"/>
    </row>
    <row r="127" ht="15" customHeight="1" s="34">
      <c r="A127" s="54" t="n"/>
      <c r="B127" s="54" t="n"/>
      <c r="C127" s="54" t="n"/>
      <c r="D127" s="55">
        <f>IF($A127="","",IFERROR(INDEX(Baseline!$B$20:$B$49,MATCH($C127,Baseline!$A$20:$A$49,0)),"Line not in baseline"))</f>
        <v/>
      </c>
      <c r="E127" s="55">
        <f>IF($A127="","",IFERROR(INDEX(Baseline!$C$20:$C$49,MATCH($C127,Baseline!$A$20:$A$49,0)),""))</f>
        <v/>
      </c>
      <c r="F127" s="56">
        <f>IF($A127="","",IFERROR(INDEX(Baseline!$E$20:$E$49,MATCH($C127,Baseline!$A$20:$A$49,0)),""))</f>
        <v/>
      </c>
      <c r="G127" s="57" t="n"/>
      <c r="H127" s="54" t="n"/>
      <c r="I127" s="54" t="n"/>
      <c r="J127" s="39">
        <f>IF($A127="","",IF($E127="Informational","GREEN",IF($G127="",IF($E127="Mandatory","RED","YELLOW"),IF($N127="Exact",IF(UPPER(TRIM($G127&amp;""))=UPPER(TRIM($F127&amp;"")),"GREEN",$P127),IF(NOT(ISNUMBER($G127)),$P127,IF($N127="Min",IF($G127&gt;=$F127,"GREEN",IF($G127&gt;=$F127-$O127,"YELLOW",$P127)),IF($N127="Max",IF($G127&lt;=$F127,"GREEN",IF($G127&lt;=$F127+$O127,"YELLOW",$P127)),IF($N127="Range",IF(ABS($G127-$F127)&lt;=$O127,"GREEN",$P127),"CHECK RULE"))))))))</f>
        <v/>
      </c>
      <c r="K127" s="39">
        <f>IF($A127="","",IF($H127="Non-Compliant","RED",IF(AND(OR($H127="Alternative Offer",$H127="Partially Compliant"),$J127="GREEN"),"YELLOW",IF(AND($J127="GREEN",ISNUMBER($R127),$R127&lt;Baseline!$B$9),"YELLOW",$J127))))</f>
        <v/>
      </c>
      <c r="L127" s="39">
        <f>IF($A127="","",IF($K127="GREEN","GREEN",IF(COUNTIFS(Exceptions!$B$5:$B$104,$A127,Exceptions!$C$5:$C$104,$B127,Exceptions!$D$5:$D$104,$C127,Exceptions!$G$5:$G$104,"Accepted",Exceptions!$H$5:$H$104,"&lt;&gt;")&gt;0,"CLEARED",$K127)))</f>
        <v/>
      </c>
      <c r="M127" s="39">
        <f>IF($A127="","",IF($H127="","Declaration missing",IF($H127="Not Stated","Not stated in quotation",IF(AND(ISNUMBER($R127),$R127&lt;Baseline!$B$9),"Low AI confidence - verify",IF(AND($H127="Fully Compliant",$J127&lt;&gt;"GREEN"),"Declared Fully - evidence differs","")))))</f>
        <v/>
      </c>
      <c r="N127" s="58">
        <f>IF($A127="","",IFERROR(INDEX(Baseline!$D$20:$D$49,MATCH($C127,Baseline!$A$20:$A$49,0)),""))</f>
        <v/>
      </c>
      <c r="O127" s="58">
        <f>IF($A127="","",IFERROR(INDEX(Baseline!$F$20:$F$49,MATCH($C127,Baseline!$A$20:$A$49,0)),0))</f>
        <v/>
      </c>
      <c r="P127" s="58">
        <f>IF($A127="","",IFERROR(INDEX(Baseline!$G$20:$G$49,MATCH($C127,Baseline!$A$20:$A$49,0)),"RED"))</f>
        <v/>
      </c>
      <c r="Q127" s="58">
        <f>IF($A127="","",$A127&amp;"|"&amp;$B127&amp;"|"&amp;$C127)</f>
        <v/>
      </c>
      <c r="R127" s="59" t="n"/>
      <c r="S127" s="60" t="n"/>
    </row>
    <row r="128" ht="15" customHeight="1" s="34">
      <c r="A128" s="54" t="n"/>
      <c r="B128" s="54" t="n"/>
      <c r="C128" s="54" t="n"/>
      <c r="D128" s="55">
        <f>IF($A128="","",IFERROR(INDEX(Baseline!$B$20:$B$49,MATCH($C128,Baseline!$A$20:$A$49,0)),"Line not in baseline"))</f>
        <v/>
      </c>
      <c r="E128" s="55">
        <f>IF($A128="","",IFERROR(INDEX(Baseline!$C$20:$C$49,MATCH($C128,Baseline!$A$20:$A$49,0)),""))</f>
        <v/>
      </c>
      <c r="F128" s="56">
        <f>IF($A128="","",IFERROR(INDEX(Baseline!$E$20:$E$49,MATCH($C128,Baseline!$A$20:$A$49,0)),""))</f>
        <v/>
      </c>
      <c r="G128" s="57" t="n"/>
      <c r="H128" s="54" t="n"/>
      <c r="I128" s="54" t="n"/>
      <c r="J128" s="39">
        <f>IF($A128="","",IF($E128="Informational","GREEN",IF($G128="",IF($E128="Mandatory","RED","YELLOW"),IF($N128="Exact",IF(UPPER(TRIM($G128&amp;""))=UPPER(TRIM($F128&amp;"")),"GREEN",$P128),IF(NOT(ISNUMBER($G128)),$P128,IF($N128="Min",IF($G128&gt;=$F128,"GREEN",IF($G128&gt;=$F128-$O128,"YELLOW",$P128)),IF($N128="Max",IF($G128&lt;=$F128,"GREEN",IF($G128&lt;=$F128+$O128,"YELLOW",$P128)),IF($N128="Range",IF(ABS($G128-$F128)&lt;=$O128,"GREEN",$P128),"CHECK RULE"))))))))</f>
        <v/>
      </c>
      <c r="K128" s="39">
        <f>IF($A128="","",IF($H128="Non-Compliant","RED",IF(AND(OR($H128="Alternative Offer",$H128="Partially Compliant"),$J128="GREEN"),"YELLOW",IF(AND($J128="GREEN",ISNUMBER($R128),$R128&lt;Baseline!$B$9),"YELLOW",$J128))))</f>
        <v/>
      </c>
      <c r="L128" s="39">
        <f>IF($A128="","",IF($K128="GREEN","GREEN",IF(COUNTIFS(Exceptions!$B$5:$B$104,$A128,Exceptions!$C$5:$C$104,$B128,Exceptions!$D$5:$D$104,$C128,Exceptions!$G$5:$G$104,"Accepted",Exceptions!$H$5:$H$104,"&lt;&gt;")&gt;0,"CLEARED",$K128)))</f>
        <v/>
      </c>
      <c r="M128" s="39">
        <f>IF($A128="","",IF($H128="","Declaration missing",IF($H128="Not Stated","Not stated in quotation",IF(AND(ISNUMBER($R128),$R128&lt;Baseline!$B$9),"Low AI confidence - verify",IF(AND($H128="Fully Compliant",$J128&lt;&gt;"GREEN"),"Declared Fully - evidence differs","")))))</f>
        <v/>
      </c>
      <c r="N128" s="58">
        <f>IF($A128="","",IFERROR(INDEX(Baseline!$D$20:$D$49,MATCH($C128,Baseline!$A$20:$A$49,0)),""))</f>
        <v/>
      </c>
      <c r="O128" s="58">
        <f>IF($A128="","",IFERROR(INDEX(Baseline!$F$20:$F$49,MATCH($C128,Baseline!$A$20:$A$49,0)),0))</f>
        <v/>
      </c>
      <c r="P128" s="58">
        <f>IF($A128="","",IFERROR(INDEX(Baseline!$G$20:$G$49,MATCH($C128,Baseline!$A$20:$A$49,0)),"RED"))</f>
        <v/>
      </c>
      <c r="Q128" s="58">
        <f>IF($A128="","",$A128&amp;"|"&amp;$B128&amp;"|"&amp;$C128)</f>
        <v/>
      </c>
      <c r="R128" s="59" t="n"/>
      <c r="S128" s="60" t="n"/>
    </row>
    <row r="129" ht="15" customHeight="1" s="34">
      <c r="A129" s="54" t="n"/>
      <c r="B129" s="54" t="n"/>
      <c r="C129" s="54" t="n"/>
      <c r="D129" s="55">
        <f>IF($A129="","",IFERROR(INDEX(Baseline!$B$20:$B$49,MATCH($C129,Baseline!$A$20:$A$49,0)),"Line not in baseline"))</f>
        <v/>
      </c>
      <c r="E129" s="55">
        <f>IF($A129="","",IFERROR(INDEX(Baseline!$C$20:$C$49,MATCH($C129,Baseline!$A$20:$A$49,0)),""))</f>
        <v/>
      </c>
      <c r="F129" s="56">
        <f>IF($A129="","",IFERROR(INDEX(Baseline!$E$20:$E$49,MATCH($C129,Baseline!$A$20:$A$49,0)),""))</f>
        <v/>
      </c>
      <c r="G129" s="57" t="n"/>
      <c r="H129" s="54" t="n"/>
      <c r="I129" s="54" t="n"/>
      <c r="J129" s="39">
        <f>IF($A129="","",IF($E129="Informational","GREEN",IF($G129="",IF($E129="Mandatory","RED","YELLOW"),IF($N129="Exact",IF(UPPER(TRIM($G129&amp;""))=UPPER(TRIM($F129&amp;"")),"GREEN",$P129),IF(NOT(ISNUMBER($G129)),$P129,IF($N129="Min",IF($G129&gt;=$F129,"GREEN",IF($G129&gt;=$F129-$O129,"YELLOW",$P129)),IF($N129="Max",IF($G129&lt;=$F129,"GREEN",IF($G129&lt;=$F129+$O129,"YELLOW",$P129)),IF($N129="Range",IF(ABS($G129-$F129)&lt;=$O129,"GREEN",$P129),"CHECK RULE"))))))))</f>
        <v/>
      </c>
      <c r="K129" s="39">
        <f>IF($A129="","",IF($H129="Non-Compliant","RED",IF(AND(OR($H129="Alternative Offer",$H129="Partially Compliant"),$J129="GREEN"),"YELLOW",IF(AND($J129="GREEN",ISNUMBER($R129),$R129&lt;Baseline!$B$9),"YELLOW",$J129))))</f>
        <v/>
      </c>
      <c r="L129" s="39">
        <f>IF($A129="","",IF($K129="GREEN","GREEN",IF(COUNTIFS(Exceptions!$B$5:$B$104,$A129,Exceptions!$C$5:$C$104,$B129,Exceptions!$D$5:$D$104,$C129,Exceptions!$G$5:$G$104,"Accepted",Exceptions!$H$5:$H$104,"&lt;&gt;")&gt;0,"CLEARED",$K129)))</f>
        <v/>
      </c>
      <c r="M129" s="39">
        <f>IF($A129="","",IF($H129="","Declaration missing",IF($H129="Not Stated","Not stated in quotation",IF(AND(ISNUMBER($R129),$R129&lt;Baseline!$B$9),"Low AI confidence - verify",IF(AND($H129="Fully Compliant",$J129&lt;&gt;"GREEN"),"Declared Fully - evidence differs","")))))</f>
        <v/>
      </c>
      <c r="N129" s="58">
        <f>IF($A129="","",IFERROR(INDEX(Baseline!$D$20:$D$49,MATCH($C129,Baseline!$A$20:$A$49,0)),""))</f>
        <v/>
      </c>
      <c r="O129" s="58">
        <f>IF($A129="","",IFERROR(INDEX(Baseline!$F$20:$F$49,MATCH($C129,Baseline!$A$20:$A$49,0)),0))</f>
        <v/>
      </c>
      <c r="P129" s="58">
        <f>IF($A129="","",IFERROR(INDEX(Baseline!$G$20:$G$49,MATCH($C129,Baseline!$A$20:$A$49,0)),"RED"))</f>
        <v/>
      </c>
      <c r="Q129" s="58">
        <f>IF($A129="","",$A129&amp;"|"&amp;$B129&amp;"|"&amp;$C129)</f>
        <v/>
      </c>
      <c r="R129" s="59" t="n"/>
      <c r="S129" s="60" t="n"/>
    </row>
    <row r="130" ht="15" customHeight="1" s="34">
      <c r="A130" s="54" t="n"/>
      <c r="B130" s="54" t="n"/>
      <c r="C130" s="54" t="n"/>
      <c r="D130" s="55">
        <f>IF($A130="","",IFERROR(INDEX(Baseline!$B$20:$B$49,MATCH($C130,Baseline!$A$20:$A$49,0)),"Line not in baseline"))</f>
        <v/>
      </c>
      <c r="E130" s="55">
        <f>IF($A130="","",IFERROR(INDEX(Baseline!$C$20:$C$49,MATCH($C130,Baseline!$A$20:$A$49,0)),""))</f>
        <v/>
      </c>
      <c r="F130" s="56">
        <f>IF($A130="","",IFERROR(INDEX(Baseline!$E$20:$E$49,MATCH($C130,Baseline!$A$20:$A$49,0)),""))</f>
        <v/>
      </c>
      <c r="G130" s="57" t="n"/>
      <c r="H130" s="54" t="n"/>
      <c r="I130" s="54" t="n"/>
      <c r="J130" s="39">
        <f>IF($A130="","",IF($E130="Informational","GREEN",IF($G130="",IF($E130="Mandatory","RED","YELLOW"),IF($N130="Exact",IF(UPPER(TRIM($G130&amp;""))=UPPER(TRIM($F130&amp;"")),"GREEN",$P130),IF(NOT(ISNUMBER($G130)),$P130,IF($N130="Min",IF($G130&gt;=$F130,"GREEN",IF($G130&gt;=$F130-$O130,"YELLOW",$P130)),IF($N130="Max",IF($G130&lt;=$F130,"GREEN",IF($G130&lt;=$F130+$O130,"YELLOW",$P130)),IF($N130="Range",IF(ABS($G130-$F130)&lt;=$O130,"GREEN",$P130),"CHECK RULE"))))))))</f>
        <v/>
      </c>
      <c r="K130" s="39">
        <f>IF($A130="","",IF($H130="Non-Compliant","RED",IF(AND(OR($H130="Alternative Offer",$H130="Partially Compliant"),$J130="GREEN"),"YELLOW",IF(AND($J130="GREEN",ISNUMBER($R130),$R130&lt;Baseline!$B$9),"YELLOW",$J130))))</f>
        <v/>
      </c>
      <c r="L130" s="39">
        <f>IF($A130="","",IF($K130="GREEN","GREEN",IF(COUNTIFS(Exceptions!$B$5:$B$104,$A130,Exceptions!$C$5:$C$104,$B130,Exceptions!$D$5:$D$104,$C130,Exceptions!$G$5:$G$104,"Accepted",Exceptions!$H$5:$H$104,"&lt;&gt;")&gt;0,"CLEARED",$K130)))</f>
        <v/>
      </c>
      <c r="M130" s="39">
        <f>IF($A130="","",IF($H130="","Declaration missing",IF($H130="Not Stated","Not stated in quotation",IF(AND(ISNUMBER($R130),$R130&lt;Baseline!$B$9),"Low AI confidence - verify",IF(AND($H130="Fully Compliant",$J130&lt;&gt;"GREEN"),"Declared Fully - evidence differs","")))))</f>
        <v/>
      </c>
      <c r="N130" s="58">
        <f>IF($A130="","",IFERROR(INDEX(Baseline!$D$20:$D$49,MATCH($C130,Baseline!$A$20:$A$49,0)),""))</f>
        <v/>
      </c>
      <c r="O130" s="58">
        <f>IF($A130="","",IFERROR(INDEX(Baseline!$F$20:$F$49,MATCH($C130,Baseline!$A$20:$A$49,0)),0))</f>
        <v/>
      </c>
      <c r="P130" s="58">
        <f>IF($A130="","",IFERROR(INDEX(Baseline!$G$20:$G$49,MATCH($C130,Baseline!$A$20:$A$49,0)),"RED"))</f>
        <v/>
      </c>
      <c r="Q130" s="58">
        <f>IF($A130="","",$A130&amp;"|"&amp;$B130&amp;"|"&amp;$C130)</f>
        <v/>
      </c>
      <c r="R130" s="59" t="n"/>
      <c r="S130" s="60" t="n"/>
    </row>
    <row r="131" ht="15" customHeight="1" s="34">
      <c r="A131" s="54" t="n"/>
      <c r="B131" s="54" t="n"/>
      <c r="C131" s="54" t="n"/>
      <c r="D131" s="55">
        <f>IF($A131="","",IFERROR(INDEX(Baseline!$B$20:$B$49,MATCH($C131,Baseline!$A$20:$A$49,0)),"Line not in baseline"))</f>
        <v/>
      </c>
      <c r="E131" s="55">
        <f>IF($A131="","",IFERROR(INDEX(Baseline!$C$20:$C$49,MATCH($C131,Baseline!$A$20:$A$49,0)),""))</f>
        <v/>
      </c>
      <c r="F131" s="56">
        <f>IF($A131="","",IFERROR(INDEX(Baseline!$E$20:$E$49,MATCH($C131,Baseline!$A$20:$A$49,0)),""))</f>
        <v/>
      </c>
      <c r="G131" s="57" t="n"/>
      <c r="H131" s="54" t="n"/>
      <c r="I131" s="54" t="n"/>
      <c r="J131" s="39">
        <f>IF($A131="","",IF($E131="Informational","GREEN",IF($G131="",IF($E131="Mandatory","RED","YELLOW"),IF($N131="Exact",IF(UPPER(TRIM($G131&amp;""))=UPPER(TRIM($F131&amp;"")),"GREEN",$P131),IF(NOT(ISNUMBER($G131)),$P131,IF($N131="Min",IF($G131&gt;=$F131,"GREEN",IF($G131&gt;=$F131-$O131,"YELLOW",$P131)),IF($N131="Max",IF($G131&lt;=$F131,"GREEN",IF($G131&lt;=$F131+$O131,"YELLOW",$P131)),IF($N131="Range",IF(ABS($G131-$F131)&lt;=$O131,"GREEN",$P131),"CHECK RULE"))))))))</f>
        <v/>
      </c>
      <c r="K131" s="39">
        <f>IF($A131="","",IF($H131="Non-Compliant","RED",IF(AND(OR($H131="Alternative Offer",$H131="Partially Compliant"),$J131="GREEN"),"YELLOW",IF(AND($J131="GREEN",ISNUMBER($R131),$R131&lt;Baseline!$B$9),"YELLOW",$J131))))</f>
        <v/>
      </c>
      <c r="L131" s="39">
        <f>IF($A131="","",IF($K131="GREEN","GREEN",IF(COUNTIFS(Exceptions!$B$5:$B$104,$A131,Exceptions!$C$5:$C$104,$B131,Exceptions!$D$5:$D$104,$C131,Exceptions!$G$5:$G$104,"Accepted",Exceptions!$H$5:$H$104,"&lt;&gt;")&gt;0,"CLEARED",$K131)))</f>
        <v/>
      </c>
      <c r="M131" s="39">
        <f>IF($A131="","",IF($H131="","Declaration missing",IF($H131="Not Stated","Not stated in quotation",IF(AND(ISNUMBER($R131),$R131&lt;Baseline!$B$9),"Low AI confidence - verify",IF(AND($H131="Fully Compliant",$J131&lt;&gt;"GREEN"),"Declared Fully - evidence differs","")))))</f>
        <v/>
      </c>
      <c r="N131" s="58">
        <f>IF($A131="","",IFERROR(INDEX(Baseline!$D$20:$D$49,MATCH($C131,Baseline!$A$20:$A$49,0)),""))</f>
        <v/>
      </c>
      <c r="O131" s="58">
        <f>IF($A131="","",IFERROR(INDEX(Baseline!$F$20:$F$49,MATCH($C131,Baseline!$A$20:$A$49,0)),0))</f>
        <v/>
      </c>
      <c r="P131" s="58">
        <f>IF($A131="","",IFERROR(INDEX(Baseline!$G$20:$G$49,MATCH($C131,Baseline!$A$20:$A$49,0)),"RED"))</f>
        <v/>
      </c>
      <c r="Q131" s="58">
        <f>IF($A131="","",$A131&amp;"|"&amp;$B131&amp;"|"&amp;$C131)</f>
        <v/>
      </c>
      <c r="R131" s="59" t="n"/>
      <c r="S131" s="60" t="n"/>
    </row>
    <row r="132" ht="15" customHeight="1" s="34">
      <c r="A132" s="54" t="n"/>
      <c r="B132" s="54" t="n"/>
      <c r="C132" s="54" t="n"/>
      <c r="D132" s="55">
        <f>IF($A132="","",IFERROR(INDEX(Baseline!$B$20:$B$49,MATCH($C132,Baseline!$A$20:$A$49,0)),"Line not in baseline"))</f>
        <v/>
      </c>
      <c r="E132" s="55">
        <f>IF($A132="","",IFERROR(INDEX(Baseline!$C$20:$C$49,MATCH($C132,Baseline!$A$20:$A$49,0)),""))</f>
        <v/>
      </c>
      <c r="F132" s="56">
        <f>IF($A132="","",IFERROR(INDEX(Baseline!$E$20:$E$49,MATCH($C132,Baseline!$A$20:$A$49,0)),""))</f>
        <v/>
      </c>
      <c r="G132" s="57" t="n"/>
      <c r="H132" s="54" t="n"/>
      <c r="I132" s="54" t="n"/>
      <c r="J132" s="39">
        <f>IF($A132="","",IF($E132="Informational","GREEN",IF($G132="",IF($E132="Mandatory","RED","YELLOW"),IF($N132="Exact",IF(UPPER(TRIM($G132&amp;""))=UPPER(TRIM($F132&amp;"")),"GREEN",$P132),IF(NOT(ISNUMBER($G132)),$P132,IF($N132="Min",IF($G132&gt;=$F132,"GREEN",IF($G132&gt;=$F132-$O132,"YELLOW",$P132)),IF($N132="Max",IF($G132&lt;=$F132,"GREEN",IF($G132&lt;=$F132+$O132,"YELLOW",$P132)),IF($N132="Range",IF(ABS($G132-$F132)&lt;=$O132,"GREEN",$P132),"CHECK RULE"))))))))</f>
        <v/>
      </c>
      <c r="K132" s="39">
        <f>IF($A132="","",IF($H132="Non-Compliant","RED",IF(AND(OR($H132="Alternative Offer",$H132="Partially Compliant"),$J132="GREEN"),"YELLOW",IF(AND($J132="GREEN",ISNUMBER($R132),$R132&lt;Baseline!$B$9),"YELLOW",$J132))))</f>
        <v/>
      </c>
      <c r="L132" s="39">
        <f>IF($A132="","",IF($K132="GREEN","GREEN",IF(COUNTIFS(Exceptions!$B$5:$B$104,$A132,Exceptions!$C$5:$C$104,$B132,Exceptions!$D$5:$D$104,$C132,Exceptions!$G$5:$G$104,"Accepted",Exceptions!$H$5:$H$104,"&lt;&gt;")&gt;0,"CLEARED",$K132)))</f>
        <v/>
      </c>
      <c r="M132" s="39">
        <f>IF($A132="","",IF($H132="","Declaration missing",IF($H132="Not Stated","Not stated in quotation",IF(AND(ISNUMBER($R132),$R132&lt;Baseline!$B$9),"Low AI confidence - verify",IF(AND($H132="Fully Compliant",$J132&lt;&gt;"GREEN"),"Declared Fully - evidence differs","")))))</f>
        <v/>
      </c>
      <c r="N132" s="58">
        <f>IF($A132="","",IFERROR(INDEX(Baseline!$D$20:$D$49,MATCH($C132,Baseline!$A$20:$A$49,0)),""))</f>
        <v/>
      </c>
      <c r="O132" s="58">
        <f>IF($A132="","",IFERROR(INDEX(Baseline!$F$20:$F$49,MATCH($C132,Baseline!$A$20:$A$49,0)),0))</f>
        <v/>
      </c>
      <c r="P132" s="58">
        <f>IF($A132="","",IFERROR(INDEX(Baseline!$G$20:$G$49,MATCH($C132,Baseline!$A$20:$A$49,0)),"RED"))</f>
        <v/>
      </c>
      <c r="Q132" s="58">
        <f>IF($A132="","",$A132&amp;"|"&amp;$B132&amp;"|"&amp;$C132)</f>
        <v/>
      </c>
      <c r="R132" s="59" t="n"/>
      <c r="S132" s="60" t="n"/>
    </row>
    <row r="133" ht="15" customHeight="1" s="34">
      <c r="A133" s="54" t="n"/>
      <c r="B133" s="54" t="n"/>
      <c r="C133" s="54" t="n"/>
      <c r="D133" s="55">
        <f>IF($A133="","",IFERROR(INDEX(Baseline!$B$20:$B$49,MATCH($C133,Baseline!$A$20:$A$49,0)),"Line not in baseline"))</f>
        <v/>
      </c>
      <c r="E133" s="55">
        <f>IF($A133="","",IFERROR(INDEX(Baseline!$C$20:$C$49,MATCH($C133,Baseline!$A$20:$A$49,0)),""))</f>
        <v/>
      </c>
      <c r="F133" s="56">
        <f>IF($A133="","",IFERROR(INDEX(Baseline!$E$20:$E$49,MATCH($C133,Baseline!$A$20:$A$49,0)),""))</f>
        <v/>
      </c>
      <c r="G133" s="57" t="n"/>
      <c r="H133" s="54" t="n"/>
      <c r="I133" s="54" t="n"/>
      <c r="J133" s="39">
        <f>IF($A133="","",IF($E133="Informational","GREEN",IF($G133="",IF($E133="Mandatory","RED","YELLOW"),IF($N133="Exact",IF(UPPER(TRIM($G133&amp;""))=UPPER(TRIM($F133&amp;"")),"GREEN",$P133),IF(NOT(ISNUMBER($G133)),$P133,IF($N133="Min",IF($G133&gt;=$F133,"GREEN",IF($G133&gt;=$F133-$O133,"YELLOW",$P133)),IF($N133="Max",IF($G133&lt;=$F133,"GREEN",IF($G133&lt;=$F133+$O133,"YELLOW",$P133)),IF($N133="Range",IF(ABS($G133-$F133)&lt;=$O133,"GREEN",$P133),"CHECK RULE"))))))))</f>
        <v/>
      </c>
      <c r="K133" s="39">
        <f>IF($A133="","",IF($H133="Non-Compliant","RED",IF(AND(OR($H133="Alternative Offer",$H133="Partially Compliant"),$J133="GREEN"),"YELLOW",IF(AND($J133="GREEN",ISNUMBER($R133),$R133&lt;Baseline!$B$9),"YELLOW",$J133))))</f>
        <v/>
      </c>
      <c r="L133" s="39">
        <f>IF($A133="","",IF($K133="GREEN","GREEN",IF(COUNTIFS(Exceptions!$B$5:$B$104,$A133,Exceptions!$C$5:$C$104,$B133,Exceptions!$D$5:$D$104,$C133,Exceptions!$G$5:$G$104,"Accepted",Exceptions!$H$5:$H$104,"&lt;&gt;")&gt;0,"CLEARED",$K133)))</f>
        <v/>
      </c>
      <c r="M133" s="39">
        <f>IF($A133="","",IF($H133="","Declaration missing",IF($H133="Not Stated","Not stated in quotation",IF(AND(ISNUMBER($R133),$R133&lt;Baseline!$B$9),"Low AI confidence - verify",IF(AND($H133="Fully Compliant",$J133&lt;&gt;"GREEN"),"Declared Fully - evidence differs","")))))</f>
        <v/>
      </c>
      <c r="N133" s="58">
        <f>IF($A133="","",IFERROR(INDEX(Baseline!$D$20:$D$49,MATCH($C133,Baseline!$A$20:$A$49,0)),""))</f>
        <v/>
      </c>
      <c r="O133" s="58">
        <f>IF($A133="","",IFERROR(INDEX(Baseline!$F$20:$F$49,MATCH($C133,Baseline!$A$20:$A$49,0)),0))</f>
        <v/>
      </c>
      <c r="P133" s="58">
        <f>IF($A133="","",IFERROR(INDEX(Baseline!$G$20:$G$49,MATCH($C133,Baseline!$A$20:$A$49,0)),"RED"))</f>
        <v/>
      </c>
      <c r="Q133" s="58">
        <f>IF($A133="","",$A133&amp;"|"&amp;$B133&amp;"|"&amp;$C133)</f>
        <v/>
      </c>
      <c r="R133" s="59" t="n"/>
      <c r="S133" s="60" t="n"/>
    </row>
    <row r="134" ht="15" customHeight="1" s="34">
      <c r="A134" s="54" t="n"/>
      <c r="B134" s="54" t="n"/>
      <c r="C134" s="54" t="n"/>
      <c r="D134" s="55">
        <f>IF($A134="","",IFERROR(INDEX(Baseline!$B$20:$B$49,MATCH($C134,Baseline!$A$20:$A$49,0)),"Line not in baseline"))</f>
        <v/>
      </c>
      <c r="E134" s="55">
        <f>IF($A134="","",IFERROR(INDEX(Baseline!$C$20:$C$49,MATCH($C134,Baseline!$A$20:$A$49,0)),""))</f>
        <v/>
      </c>
      <c r="F134" s="56">
        <f>IF($A134="","",IFERROR(INDEX(Baseline!$E$20:$E$49,MATCH($C134,Baseline!$A$20:$A$49,0)),""))</f>
        <v/>
      </c>
      <c r="G134" s="57" t="n"/>
      <c r="H134" s="54" t="n"/>
      <c r="I134" s="54" t="n"/>
      <c r="J134" s="39">
        <f>IF($A134="","",IF($E134="Informational","GREEN",IF($G134="",IF($E134="Mandatory","RED","YELLOW"),IF($N134="Exact",IF(UPPER(TRIM($G134&amp;""))=UPPER(TRIM($F134&amp;"")),"GREEN",$P134),IF(NOT(ISNUMBER($G134)),$P134,IF($N134="Min",IF($G134&gt;=$F134,"GREEN",IF($G134&gt;=$F134-$O134,"YELLOW",$P134)),IF($N134="Max",IF($G134&lt;=$F134,"GREEN",IF($G134&lt;=$F134+$O134,"YELLOW",$P134)),IF($N134="Range",IF(ABS($G134-$F134)&lt;=$O134,"GREEN",$P134),"CHECK RULE"))))))))</f>
        <v/>
      </c>
      <c r="K134" s="39">
        <f>IF($A134="","",IF($H134="Non-Compliant","RED",IF(AND(OR($H134="Alternative Offer",$H134="Partially Compliant"),$J134="GREEN"),"YELLOW",IF(AND($J134="GREEN",ISNUMBER($R134),$R134&lt;Baseline!$B$9),"YELLOW",$J134))))</f>
        <v/>
      </c>
      <c r="L134" s="39">
        <f>IF($A134="","",IF($K134="GREEN","GREEN",IF(COUNTIFS(Exceptions!$B$5:$B$104,$A134,Exceptions!$C$5:$C$104,$B134,Exceptions!$D$5:$D$104,$C134,Exceptions!$G$5:$G$104,"Accepted",Exceptions!$H$5:$H$104,"&lt;&gt;")&gt;0,"CLEARED",$K134)))</f>
        <v/>
      </c>
      <c r="M134" s="39">
        <f>IF($A134="","",IF($H134="","Declaration missing",IF($H134="Not Stated","Not stated in quotation",IF(AND(ISNUMBER($R134),$R134&lt;Baseline!$B$9),"Low AI confidence - verify",IF(AND($H134="Fully Compliant",$J134&lt;&gt;"GREEN"),"Declared Fully - evidence differs","")))))</f>
        <v/>
      </c>
      <c r="N134" s="58">
        <f>IF($A134="","",IFERROR(INDEX(Baseline!$D$20:$D$49,MATCH($C134,Baseline!$A$20:$A$49,0)),""))</f>
        <v/>
      </c>
      <c r="O134" s="58">
        <f>IF($A134="","",IFERROR(INDEX(Baseline!$F$20:$F$49,MATCH($C134,Baseline!$A$20:$A$49,0)),0))</f>
        <v/>
      </c>
      <c r="P134" s="58">
        <f>IF($A134="","",IFERROR(INDEX(Baseline!$G$20:$G$49,MATCH($C134,Baseline!$A$20:$A$49,0)),"RED"))</f>
        <v/>
      </c>
      <c r="Q134" s="58">
        <f>IF($A134="","",$A134&amp;"|"&amp;$B134&amp;"|"&amp;$C134)</f>
        <v/>
      </c>
      <c r="R134" s="59" t="n"/>
      <c r="S134" s="60" t="n"/>
    </row>
    <row r="135" ht="15" customHeight="1" s="34">
      <c r="A135" s="54" t="n"/>
      <c r="B135" s="54" t="n"/>
      <c r="C135" s="54" t="n"/>
      <c r="D135" s="55">
        <f>IF($A135="","",IFERROR(INDEX(Baseline!$B$20:$B$49,MATCH($C135,Baseline!$A$20:$A$49,0)),"Line not in baseline"))</f>
        <v/>
      </c>
      <c r="E135" s="55">
        <f>IF($A135="","",IFERROR(INDEX(Baseline!$C$20:$C$49,MATCH($C135,Baseline!$A$20:$A$49,0)),""))</f>
        <v/>
      </c>
      <c r="F135" s="56">
        <f>IF($A135="","",IFERROR(INDEX(Baseline!$E$20:$E$49,MATCH($C135,Baseline!$A$20:$A$49,0)),""))</f>
        <v/>
      </c>
      <c r="G135" s="57" t="n"/>
      <c r="H135" s="54" t="n"/>
      <c r="I135" s="54" t="n"/>
      <c r="J135" s="39">
        <f>IF($A135="","",IF($E135="Informational","GREEN",IF($G135="",IF($E135="Mandatory","RED","YELLOW"),IF($N135="Exact",IF(UPPER(TRIM($G135&amp;""))=UPPER(TRIM($F135&amp;"")),"GREEN",$P135),IF(NOT(ISNUMBER($G135)),$P135,IF($N135="Min",IF($G135&gt;=$F135,"GREEN",IF($G135&gt;=$F135-$O135,"YELLOW",$P135)),IF($N135="Max",IF($G135&lt;=$F135,"GREEN",IF($G135&lt;=$F135+$O135,"YELLOW",$P135)),IF($N135="Range",IF(ABS($G135-$F135)&lt;=$O135,"GREEN",$P135),"CHECK RULE"))))))))</f>
        <v/>
      </c>
      <c r="K135" s="39">
        <f>IF($A135="","",IF($H135="Non-Compliant","RED",IF(AND(OR($H135="Alternative Offer",$H135="Partially Compliant"),$J135="GREEN"),"YELLOW",IF(AND($J135="GREEN",ISNUMBER($R135),$R135&lt;Baseline!$B$9),"YELLOW",$J135))))</f>
        <v/>
      </c>
      <c r="L135" s="39">
        <f>IF($A135="","",IF($K135="GREEN","GREEN",IF(COUNTIFS(Exceptions!$B$5:$B$104,$A135,Exceptions!$C$5:$C$104,$B135,Exceptions!$D$5:$D$104,$C135,Exceptions!$G$5:$G$104,"Accepted",Exceptions!$H$5:$H$104,"&lt;&gt;")&gt;0,"CLEARED",$K135)))</f>
        <v/>
      </c>
      <c r="M135" s="39">
        <f>IF($A135="","",IF($H135="","Declaration missing",IF($H135="Not Stated","Not stated in quotation",IF(AND(ISNUMBER($R135),$R135&lt;Baseline!$B$9),"Low AI confidence - verify",IF(AND($H135="Fully Compliant",$J135&lt;&gt;"GREEN"),"Declared Fully - evidence differs","")))))</f>
        <v/>
      </c>
      <c r="N135" s="58">
        <f>IF($A135="","",IFERROR(INDEX(Baseline!$D$20:$D$49,MATCH($C135,Baseline!$A$20:$A$49,0)),""))</f>
        <v/>
      </c>
      <c r="O135" s="58">
        <f>IF($A135="","",IFERROR(INDEX(Baseline!$F$20:$F$49,MATCH($C135,Baseline!$A$20:$A$49,0)),0))</f>
        <v/>
      </c>
      <c r="P135" s="58">
        <f>IF($A135="","",IFERROR(INDEX(Baseline!$G$20:$G$49,MATCH($C135,Baseline!$A$20:$A$49,0)),"RED"))</f>
        <v/>
      </c>
      <c r="Q135" s="58">
        <f>IF($A135="","",$A135&amp;"|"&amp;$B135&amp;"|"&amp;$C135)</f>
        <v/>
      </c>
      <c r="R135" s="59" t="n"/>
      <c r="S135" s="60" t="n"/>
    </row>
    <row r="136" ht="15" customHeight="1" s="34">
      <c r="A136" s="54" t="n"/>
      <c r="B136" s="54" t="n"/>
      <c r="C136" s="54" t="n"/>
      <c r="D136" s="55">
        <f>IF($A136="","",IFERROR(INDEX(Baseline!$B$20:$B$49,MATCH($C136,Baseline!$A$20:$A$49,0)),"Line not in baseline"))</f>
        <v/>
      </c>
      <c r="E136" s="55">
        <f>IF($A136="","",IFERROR(INDEX(Baseline!$C$20:$C$49,MATCH($C136,Baseline!$A$20:$A$49,0)),""))</f>
        <v/>
      </c>
      <c r="F136" s="56">
        <f>IF($A136="","",IFERROR(INDEX(Baseline!$E$20:$E$49,MATCH($C136,Baseline!$A$20:$A$49,0)),""))</f>
        <v/>
      </c>
      <c r="G136" s="57" t="n"/>
      <c r="H136" s="54" t="n"/>
      <c r="I136" s="54" t="n"/>
      <c r="J136" s="39">
        <f>IF($A136="","",IF($E136="Informational","GREEN",IF($G136="",IF($E136="Mandatory","RED","YELLOW"),IF($N136="Exact",IF(UPPER(TRIM($G136&amp;""))=UPPER(TRIM($F136&amp;"")),"GREEN",$P136),IF(NOT(ISNUMBER($G136)),$P136,IF($N136="Min",IF($G136&gt;=$F136,"GREEN",IF($G136&gt;=$F136-$O136,"YELLOW",$P136)),IF($N136="Max",IF($G136&lt;=$F136,"GREEN",IF($G136&lt;=$F136+$O136,"YELLOW",$P136)),IF($N136="Range",IF(ABS($G136-$F136)&lt;=$O136,"GREEN",$P136),"CHECK RULE"))))))))</f>
        <v/>
      </c>
      <c r="K136" s="39">
        <f>IF($A136="","",IF($H136="Non-Compliant","RED",IF(AND(OR($H136="Alternative Offer",$H136="Partially Compliant"),$J136="GREEN"),"YELLOW",IF(AND($J136="GREEN",ISNUMBER($R136),$R136&lt;Baseline!$B$9),"YELLOW",$J136))))</f>
        <v/>
      </c>
      <c r="L136" s="39">
        <f>IF($A136="","",IF($K136="GREEN","GREEN",IF(COUNTIFS(Exceptions!$B$5:$B$104,$A136,Exceptions!$C$5:$C$104,$B136,Exceptions!$D$5:$D$104,$C136,Exceptions!$G$5:$G$104,"Accepted",Exceptions!$H$5:$H$104,"&lt;&gt;")&gt;0,"CLEARED",$K136)))</f>
        <v/>
      </c>
      <c r="M136" s="39">
        <f>IF($A136="","",IF($H136="","Declaration missing",IF($H136="Not Stated","Not stated in quotation",IF(AND(ISNUMBER($R136),$R136&lt;Baseline!$B$9),"Low AI confidence - verify",IF(AND($H136="Fully Compliant",$J136&lt;&gt;"GREEN"),"Declared Fully - evidence differs","")))))</f>
        <v/>
      </c>
      <c r="N136" s="58">
        <f>IF($A136="","",IFERROR(INDEX(Baseline!$D$20:$D$49,MATCH($C136,Baseline!$A$20:$A$49,0)),""))</f>
        <v/>
      </c>
      <c r="O136" s="58">
        <f>IF($A136="","",IFERROR(INDEX(Baseline!$F$20:$F$49,MATCH($C136,Baseline!$A$20:$A$49,0)),0))</f>
        <v/>
      </c>
      <c r="P136" s="58">
        <f>IF($A136="","",IFERROR(INDEX(Baseline!$G$20:$G$49,MATCH($C136,Baseline!$A$20:$A$49,0)),"RED"))</f>
        <v/>
      </c>
      <c r="Q136" s="58">
        <f>IF($A136="","",$A136&amp;"|"&amp;$B136&amp;"|"&amp;$C136)</f>
        <v/>
      </c>
      <c r="R136" s="59" t="n"/>
      <c r="S136" s="60" t="n"/>
    </row>
    <row r="137" ht="15" customHeight="1" s="34">
      <c r="A137" s="54" t="n"/>
      <c r="B137" s="54" t="n"/>
      <c r="C137" s="54" t="n"/>
      <c r="D137" s="55">
        <f>IF($A137="","",IFERROR(INDEX(Baseline!$B$20:$B$49,MATCH($C137,Baseline!$A$20:$A$49,0)),"Line not in baseline"))</f>
        <v/>
      </c>
      <c r="E137" s="55">
        <f>IF($A137="","",IFERROR(INDEX(Baseline!$C$20:$C$49,MATCH($C137,Baseline!$A$20:$A$49,0)),""))</f>
        <v/>
      </c>
      <c r="F137" s="56">
        <f>IF($A137="","",IFERROR(INDEX(Baseline!$E$20:$E$49,MATCH($C137,Baseline!$A$20:$A$49,0)),""))</f>
        <v/>
      </c>
      <c r="G137" s="57" t="n"/>
      <c r="H137" s="54" t="n"/>
      <c r="I137" s="54" t="n"/>
      <c r="J137" s="39">
        <f>IF($A137="","",IF($E137="Informational","GREEN",IF($G137="",IF($E137="Mandatory","RED","YELLOW"),IF($N137="Exact",IF(UPPER(TRIM($G137&amp;""))=UPPER(TRIM($F137&amp;"")),"GREEN",$P137),IF(NOT(ISNUMBER($G137)),$P137,IF($N137="Min",IF($G137&gt;=$F137,"GREEN",IF($G137&gt;=$F137-$O137,"YELLOW",$P137)),IF($N137="Max",IF($G137&lt;=$F137,"GREEN",IF($G137&lt;=$F137+$O137,"YELLOW",$P137)),IF($N137="Range",IF(ABS($G137-$F137)&lt;=$O137,"GREEN",$P137),"CHECK RULE"))))))))</f>
        <v/>
      </c>
      <c r="K137" s="39">
        <f>IF($A137="","",IF($H137="Non-Compliant","RED",IF(AND(OR($H137="Alternative Offer",$H137="Partially Compliant"),$J137="GREEN"),"YELLOW",IF(AND($J137="GREEN",ISNUMBER($R137),$R137&lt;Baseline!$B$9),"YELLOW",$J137))))</f>
        <v/>
      </c>
      <c r="L137" s="39">
        <f>IF($A137="","",IF($K137="GREEN","GREEN",IF(COUNTIFS(Exceptions!$B$5:$B$104,$A137,Exceptions!$C$5:$C$104,$B137,Exceptions!$D$5:$D$104,$C137,Exceptions!$G$5:$G$104,"Accepted",Exceptions!$H$5:$H$104,"&lt;&gt;")&gt;0,"CLEARED",$K137)))</f>
        <v/>
      </c>
      <c r="M137" s="39">
        <f>IF($A137="","",IF($H137="","Declaration missing",IF($H137="Not Stated","Not stated in quotation",IF(AND(ISNUMBER($R137),$R137&lt;Baseline!$B$9),"Low AI confidence - verify",IF(AND($H137="Fully Compliant",$J137&lt;&gt;"GREEN"),"Declared Fully - evidence differs","")))))</f>
        <v/>
      </c>
      <c r="N137" s="58">
        <f>IF($A137="","",IFERROR(INDEX(Baseline!$D$20:$D$49,MATCH($C137,Baseline!$A$20:$A$49,0)),""))</f>
        <v/>
      </c>
      <c r="O137" s="58">
        <f>IF($A137="","",IFERROR(INDEX(Baseline!$F$20:$F$49,MATCH($C137,Baseline!$A$20:$A$49,0)),0))</f>
        <v/>
      </c>
      <c r="P137" s="58">
        <f>IF($A137="","",IFERROR(INDEX(Baseline!$G$20:$G$49,MATCH($C137,Baseline!$A$20:$A$49,0)),"RED"))</f>
        <v/>
      </c>
      <c r="Q137" s="58">
        <f>IF($A137="","",$A137&amp;"|"&amp;$B137&amp;"|"&amp;$C137)</f>
        <v/>
      </c>
      <c r="R137" s="59" t="n"/>
      <c r="S137" s="60" t="n"/>
    </row>
    <row r="138" ht="15" customHeight="1" s="34">
      <c r="A138" s="54" t="n"/>
      <c r="B138" s="54" t="n"/>
      <c r="C138" s="54" t="n"/>
      <c r="D138" s="55">
        <f>IF($A138="","",IFERROR(INDEX(Baseline!$B$20:$B$49,MATCH($C138,Baseline!$A$20:$A$49,0)),"Line not in baseline"))</f>
        <v/>
      </c>
      <c r="E138" s="55">
        <f>IF($A138="","",IFERROR(INDEX(Baseline!$C$20:$C$49,MATCH($C138,Baseline!$A$20:$A$49,0)),""))</f>
        <v/>
      </c>
      <c r="F138" s="56">
        <f>IF($A138="","",IFERROR(INDEX(Baseline!$E$20:$E$49,MATCH($C138,Baseline!$A$20:$A$49,0)),""))</f>
        <v/>
      </c>
      <c r="G138" s="57" t="n"/>
      <c r="H138" s="54" t="n"/>
      <c r="I138" s="54" t="n"/>
      <c r="J138" s="39">
        <f>IF($A138="","",IF($E138="Informational","GREEN",IF($G138="",IF($E138="Mandatory","RED","YELLOW"),IF($N138="Exact",IF(UPPER(TRIM($G138&amp;""))=UPPER(TRIM($F138&amp;"")),"GREEN",$P138),IF(NOT(ISNUMBER($G138)),$P138,IF($N138="Min",IF($G138&gt;=$F138,"GREEN",IF($G138&gt;=$F138-$O138,"YELLOW",$P138)),IF($N138="Max",IF($G138&lt;=$F138,"GREEN",IF($G138&lt;=$F138+$O138,"YELLOW",$P138)),IF($N138="Range",IF(ABS($G138-$F138)&lt;=$O138,"GREEN",$P138),"CHECK RULE"))))))))</f>
        <v/>
      </c>
      <c r="K138" s="39">
        <f>IF($A138="","",IF($H138="Non-Compliant","RED",IF(AND(OR($H138="Alternative Offer",$H138="Partially Compliant"),$J138="GREEN"),"YELLOW",IF(AND($J138="GREEN",ISNUMBER($R138),$R138&lt;Baseline!$B$9),"YELLOW",$J138))))</f>
        <v/>
      </c>
      <c r="L138" s="39">
        <f>IF($A138="","",IF($K138="GREEN","GREEN",IF(COUNTIFS(Exceptions!$B$5:$B$104,$A138,Exceptions!$C$5:$C$104,$B138,Exceptions!$D$5:$D$104,$C138,Exceptions!$G$5:$G$104,"Accepted",Exceptions!$H$5:$H$104,"&lt;&gt;")&gt;0,"CLEARED",$K138)))</f>
        <v/>
      </c>
      <c r="M138" s="39">
        <f>IF($A138="","",IF($H138="","Declaration missing",IF($H138="Not Stated","Not stated in quotation",IF(AND(ISNUMBER($R138),$R138&lt;Baseline!$B$9),"Low AI confidence - verify",IF(AND($H138="Fully Compliant",$J138&lt;&gt;"GREEN"),"Declared Fully - evidence differs","")))))</f>
        <v/>
      </c>
      <c r="N138" s="58">
        <f>IF($A138="","",IFERROR(INDEX(Baseline!$D$20:$D$49,MATCH($C138,Baseline!$A$20:$A$49,0)),""))</f>
        <v/>
      </c>
      <c r="O138" s="58">
        <f>IF($A138="","",IFERROR(INDEX(Baseline!$F$20:$F$49,MATCH($C138,Baseline!$A$20:$A$49,0)),0))</f>
        <v/>
      </c>
      <c r="P138" s="58">
        <f>IF($A138="","",IFERROR(INDEX(Baseline!$G$20:$G$49,MATCH($C138,Baseline!$A$20:$A$49,0)),"RED"))</f>
        <v/>
      </c>
      <c r="Q138" s="58">
        <f>IF($A138="","",$A138&amp;"|"&amp;$B138&amp;"|"&amp;$C138)</f>
        <v/>
      </c>
      <c r="R138" s="59" t="n"/>
      <c r="S138" s="60" t="n"/>
    </row>
    <row r="139" ht="15" customHeight="1" s="34">
      <c r="A139" s="54" t="n"/>
      <c r="B139" s="54" t="n"/>
      <c r="C139" s="54" t="n"/>
      <c r="D139" s="55">
        <f>IF($A139="","",IFERROR(INDEX(Baseline!$B$20:$B$49,MATCH($C139,Baseline!$A$20:$A$49,0)),"Line not in baseline"))</f>
        <v/>
      </c>
      <c r="E139" s="55">
        <f>IF($A139="","",IFERROR(INDEX(Baseline!$C$20:$C$49,MATCH($C139,Baseline!$A$20:$A$49,0)),""))</f>
        <v/>
      </c>
      <c r="F139" s="56">
        <f>IF($A139="","",IFERROR(INDEX(Baseline!$E$20:$E$49,MATCH($C139,Baseline!$A$20:$A$49,0)),""))</f>
        <v/>
      </c>
      <c r="G139" s="57" t="n"/>
      <c r="H139" s="54" t="n"/>
      <c r="I139" s="54" t="n"/>
      <c r="J139" s="39">
        <f>IF($A139="","",IF($E139="Informational","GREEN",IF($G139="",IF($E139="Mandatory","RED","YELLOW"),IF($N139="Exact",IF(UPPER(TRIM($G139&amp;""))=UPPER(TRIM($F139&amp;"")),"GREEN",$P139),IF(NOT(ISNUMBER($G139)),$P139,IF($N139="Min",IF($G139&gt;=$F139,"GREEN",IF($G139&gt;=$F139-$O139,"YELLOW",$P139)),IF($N139="Max",IF($G139&lt;=$F139,"GREEN",IF($G139&lt;=$F139+$O139,"YELLOW",$P139)),IF($N139="Range",IF(ABS($G139-$F139)&lt;=$O139,"GREEN",$P139),"CHECK RULE"))))))))</f>
        <v/>
      </c>
      <c r="K139" s="39">
        <f>IF($A139="","",IF($H139="Non-Compliant","RED",IF(AND(OR($H139="Alternative Offer",$H139="Partially Compliant"),$J139="GREEN"),"YELLOW",IF(AND($J139="GREEN",ISNUMBER($R139),$R139&lt;Baseline!$B$9),"YELLOW",$J139))))</f>
        <v/>
      </c>
      <c r="L139" s="39">
        <f>IF($A139="","",IF($K139="GREEN","GREEN",IF(COUNTIFS(Exceptions!$B$5:$B$104,$A139,Exceptions!$C$5:$C$104,$B139,Exceptions!$D$5:$D$104,$C139,Exceptions!$G$5:$G$104,"Accepted",Exceptions!$H$5:$H$104,"&lt;&gt;")&gt;0,"CLEARED",$K139)))</f>
        <v/>
      </c>
      <c r="M139" s="39">
        <f>IF($A139="","",IF($H139="","Declaration missing",IF($H139="Not Stated","Not stated in quotation",IF(AND(ISNUMBER($R139),$R139&lt;Baseline!$B$9),"Low AI confidence - verify",IF(AND($H139="Fully Compliant",$J139&lt;&gt;"GREEN"),"Declared Fully - evidence differs","")))))</f>
        <v/>
      </c>
      <c r="N139" s="58">
        <f>IF($A139="","",IFERROR(INDEX(Baseline!$D$20:$D$49,MATCH($C139,Baseline!$A$20:$A$49,0)),""))</f>
        <v/>
      </c>
      <c r="O139" s="58">
        <f>IF($A139="","",IFERROR(INDEX(Baseline!$F$20:$F$49,MATCH($C139,Baseline!$A$20:$A$49,0)),0))</f>
        <v/>
      </c>
      <c r="P139" s="58">
        <f>IF($A139="","",IFERROR(INDEX(Baseline!$G$20:$G$49,MATCH($C139,Baseline!$A$20:$A$49,0)),"RED"))</f>
        <v/>
      </c>
      <c r="Q139" s="58">
        <f>IF($A139="","",$A139&amp;"|"&amp;$B139&amp;"|"&amp;$C139)</f>
        <v/>
      </c>
      <c r="R139" s="59" t="n"/>
      <c r="S139" s="60" t="n"/>
    </row>
    <row r="140" ht="15" customHeight="1" s="34">
      <c r="A140" s="54" t="n"/>
      <c r="B140" s="54" t="n"/>
      <c r="C140" s="54" t="n"/>
      <c r="D140" s="55">
        <f>IF($A140="","",IFERROR(INDEX(Baseline!$B$20:$B$49,MATCH($C140,Baseline!$A$20:$A$49,0)),"Line not in baseline"))</f>
        <v/>
      </c>
      <c r="E140" s="55">
        <f>IF($A140="","",IFERROR(INDEX(Baseline!$C$20:$C$49,MATCH($C140,Baseline!$A$20:$A$49,0)),""))</f>
        <v/>
      </c>
      <c r="F140" s="56">
        <f>IF($A140="","",IFERROR(INDEX(Baseline!$E$20:$E$49,MATCH($C140,Baseline!$A$20:$A$49,0)),""))</f>
        <v/>
      </c>
      <c r="G140" s="57" t="n"/>
      <c r="H140" s="54" t="n"/>
      <c r="I140" s="54" t="n"/>
      <c r="J140" s="39">
        <f>IF($A140="","",IF($E140="Informational","GREEN",IF($G140="",IF($E140="Mandatory","RED","YELLOW"),IF($N140="Exact",IF(UPPER(TRIM($G140&amp;""))=UPPER(TRIM($F140&amp;"")),"GREEN",$P140),IF(NOT(ISNUMBER($G140)),$P140,IF($N140="Min",IF($G140&gt;=$F140,"GREEN",IF($G140&gt;=$F140-$O140,"YELLOW",$P140)),IF($N140="Max",IF($G140&lt;=$F140,"GREEN",IF($G140&lt;=$F140+$O140,"YELLOW",$P140)),IF($N140="Range",IF(ABS($G140-$F140)&lt;=$O140,"GREEN",$P140),"CHECK RULE"))))))))</f>
        <v/>
      </c>
      <c r="K140" s="39">
        <f>IF($A140="","",IF($H140="Non-Compliant","RED",IF(AND(OR($H140="Alternative Offer",$H140="Partially Compliant"),$J140="GREEN"),"YELLOW",IF(AND($J140="GREEN",ISNUMBER($R140),$R140&lt;Baseline!$B$9),"YELLOW",$J140))))</f>
        <v/>
      </c>
      <c r="L140" s="39">
        <f>IF($A140="","",IF($K140="GREEN","GREEN",IF(COUNTIFS(Exceptions!$B$5:$B$104,$A140,Exceptions!$C$5:$C$104,$B140,Exceptions!$D$5:$D$104,$C140,Exceptions!$G$5:$G$104,"Accepted",Exceptions!$H$5:$H$104,"&lt;&gt;")&gt;0,"CLEARED",$K140)))</f>
        <v/>
      </c>
      <c r="M140" s="39">
        <f>IF($A140="","",IF($H140="","Declaration missing",IF($H140="Not Stated","Not stated in quotation",IF(AND(ISNUMBER($R140),$R140&lt;Baseline!$B$9),"Low AI confidence - verify",IF(AND($H140="Fully Compliant",$J140&lt;&gt;"GREEN"),"Declared Fully - evidence differs","")))))</f>
        <v/>
      </c>
      <c r="N140" s="58">
        <f>IF($A140="","",IFERROR(INDEX(Baseline!$D$20:$D$49,MATCH($C140,Baseline!$A$20:$A$49,0)),""))</f>
        <v/>
      </c>
      <c r="O140" s="58">
        <f>IF($A140="","",IFERROR(INDEX(Baseline!$F$20:$F$49,MATCH($C140,Baseline!$A$20:$A$49,0)),0))</f>
        <v/>
      </c>
      <c r="P140" s="58">
        <f>IF($A140="","",IFERROR(INDEX(Baseline!$G$20:$G$49,MATCH($C140,Baseline!$A$20:$A$49,0)),"RED"))</f>
        <v/>
      </c>
      <c r="Q140" s="58">
        <f>IF($A140="","",$A140&amp;"|"&amp;$B140&amp;"|"&amp;$C140)</f>
        <v/>
      </c>
      <c r="R140" s="59" t="n"/>
      <c r="S140" s="60" t="n"/>
    </row>
    <row r="141" ht="15" customHeight="1" s="34">
      <c r="A141" s="54" t="n"/>
      <c r="B141" s="54" t="n"/>
      <c r="C141" s="54" t="n"/>
      <c r="D141" s="55">
        <f>IF($A141="","",IFERROR(INDEX(Baseline!$B$20:$B$49,MATCH($C141,Baseline!$A$20:$A$49,0)),"Line not in baseline"))</f>
        <v/>
      </c>
      <c r="E141" s="55">
        <f>IF($A141="","",IFERROR(INDEX(Baseline!$C$20:$C$49,MATCH($C141,Baseline!$A$20:$A$49,0)),""))</f>
        <v/>
      </c>
      <c r="F141" s="56">
        <f>IF($A141="","",IFERROR(INDEX(Baseline!$E$20:$E$49,MATCH($C141,Baseline!$A$20:$A$49,0)),""))</f>
        <v/>
      </c>
      <c r="G141" s="57" t="n"/>
      <c r="H141" s="54" t="n"/>
      <c r="I141" s="54" t="n"/>
      <c r="J141" s="39">
        <f>IF($A141="","",IF($E141="Informational","GREEN",IF($G141="",IF($E141="Mandatory","RED","YELLOW"),IF($N141="Exact",IF(UPPER(TRIM($G141&amp;""))=UPPER(TRIM($F141&amp;"")),"GREEN",$P141),IF(NOT(ISNUMBER($G141)),$P141,IF($N141="Min",IF($G141&gt;=$F141,"GREEN",IF($G141&gt;=$F141-$O141,"YELLOW",$P141)),IF($N141="Max",IF($G141&lt;=$F141,"GREEN",IF($G141&lt;=$F141+$O141,"YELLOW",$P141)),IF($N141="Range",IF(ABS($G141-$F141)&lt;=$O141,"GREEN",$P141),"CHECK RULE"))))))))</f>
        <v/>
      </c>
      <c r="K141" s="39">
        <f>IF($A141="","",IF($H141="Non-Compliant","RED",IF(AND(OR($H141="Alternative Offer",$H141="Partially Compliant"),$J141="GREEN"),"YELLOW",IF(AND($J141="GREEN",ISNUMBER($R141),$R141&lt;Baseline!$B$9),"YELLOW",$J141))))</f>
        <v/>
      </c>
      <c r="L141" s="39">
        <f>IF($A141="","",IF($K141="GREEN","GREEN",IF(COUNTIFS(Exceptions!$B$5:$B$104,$A141,Exceptions!$C$5:$C$104,$B141,Exceptions!$D$5:$D$104,$C141,Exceptions!$G$5:$G$104,"Accepted",Exceptions!$H$5:$H$104,"&lt;&gt;")&gt;0,"CLEARED",$K141)))</f>
        <v/>
      </c>
      <c r="M141" s="39">
        <f>IF($A141="","",IF($H141="","Declaration missing",IF($H141="Not Stated","Not stated in quotation",IF(AND(ISNUMBER($R141),$R141&lt;Baseline!$B$9),"Low AI confidence - verify",IF(AND($H141="Fully Compliant",$J141&lt;&gt;"GREEN"),"Declared Fully - evidence differs","")))))</f>
        <v/>
      </c>
      <c r="N141" s="58">
        <f>IF($A141="","",IFERROR(INDEX(Baseline!$D$20:$D$49,MATCH($C141,Baseline!$A$20:$A$49,0)),""))</f>
        <v/>
      </c>
      <c r="O141" s="58">
        <f>IF($A141="","",IFERROR(INDEX(Baseline!$F$20:$F$49,MATCH($C141,Baseline!$A$20:$A$49,0)),0))</f>
        <v/>
      </c>
      <c r="P141" s="58">
        <f>IF($A141="","",IFERROR(INDEX(Baseline!$G$20:$G$49,MATCH($C141,Baseline!$A$20:$A$49,0)),"RED"))</f>
        <v/>
      </c>
      <c r="Q141" s="58">
        <f>IF($A141="","",$A141&amp;"|"&amp;$B141&amp;"|"&amp;$C141)</f>
        <v/>
      </c>
      <c r="R141" s="59" t="n"/>
      <c r="S141" s="60" t="n"/>
    </row>
    <row r="142" ht="15" customHeight="1" s="34">
      <c r="A142" s="54" t="n"/>
      <c r="B142" s="54" t="n"/>
      <c r="C142" s="54" t="n"/>
      <c r="D142" s="55">
        <f>IF($A142="","",IFERROR(INDEX(Baseline!$B$20:$B$49,MATCH($C142,Baseline!$A$20:$A$49,0)),"Line not in baseline"))</f>
        <v/>
      </c>
      <c r="E142" s="55">
        <f>IF($A142="","",IFERROR(INDEX(Baseline!$C$20:$C$49,MATCH($C142,Baseline!$A$20:$A$49,0)),""))</f>
        <v/>
      </c>
      <c r="F142" s="56">
        <f>IF($A142="","",IFERROR(INDEX(Baseline!$E$20:$E$49,MATCH($C142,Baseline!$A$20:$A$49,0)),""))</f>
        <v/>
      </c>
      <c r="G142" s="57" t="n"/>
      <c r="H142" s="54" t="n"/>
      <c r="I142" s="54" t="n"/>
      <c r="J142" s="39">
        <f>IF($A142="","",IF($E142="Informational","GREEN",IF($G142="",IF($E142="Mandatory","RED","YELLOW"),IF($N142="Exact",IF(UPPER(TRIM($G142&amp;""))=UPPER(TRIM($F142&amp;"")),"GREEN",$P142),IF(NOT(ISNUMBER($G142)),$P142,IF($N142="Min",IF($G142&gt;=$F142,"GREEN",IF($G142&gt;=$F142-$O142,"YELLOW",$P142)),IF($N142="Max",IF($G142&lt;=$F142,"GREEN",IF($G142&lt;=$F142+$O142,"YELLOW",$P142)),IF($N142="Range",IF(ABS($G142-$F142)&lt;=$O142,"GREEN",$P142),"CHECK RULE"))))))))</f>
        <v/>
      </c>
      <c r="K142" s="39">
        <f>IF($A142="","",IF($H142="Non-Compliant","RED",IF(AND(OR($H142="Alternative Offer",$H142="Partially Compliant"),$J142="GREEN"),"YELLOW",IF(AND($J142="GREEN",ISNUMBER($R142),$R142&lt;Baseline!$B$9),"YELLOW",$J142))))</f>
        <v/>
      </c>
      <c r="L142" s="39">
        <f>IF($A142="","",IF($K142="GREEN","GREEN",IF(COUNTIFS(Exceptions!$B$5:$B$104,$A142,Exceptions!$C$5:$C$104,$B142,Exceptions!$D$5:$D$104,$C142,Exceptions!$G$5:$G$104,"Accepted",Exceptions!$H$5:$H$104,"&lt;&gt;")&gt;0,"CLEARED",$K142)))</f>
        <v/>
      </c>
      <c r="M142" s="39">
        <f>IF($A142="","",IF($H142="","Declaration missing",IF($H142="Not Stated","Not stated in quotation",IF(AND(ISNUMBER($R142),$R142&lt;Baseline!$B$9),"Low AI confidence - verify",IF(AND($H142="Fully Compliant",$J142&lt;&gt;"GREEN"),"Declared Fully - evidence differs","")))))</f>
        <v/>
      </c>
      <c r="N142" s="58">
        <f>IF($A142="","",IFERROR(INDEX(Baseline!$D$20:$D$49,MATCH($C142,Baseline!$A$20:$A$49,0)),""))</f>
        <v/>
      </c>
      <c r="O142" s="58">
        <f>IF($A142="","",IFERROR(INDEX(Baseline!$F$20:$F$49,MATCH($C142,Baseline!$A$20:$A$49,0)),0))</f>
        <v/>
      </c>
      <c r="P142" s="58">
        <f>IF($A142="","",IFERROR(INDEX(Baseline!$G$20:$G$49,MATCH($C142,Baseline!$A$20:$A$49,0)),"RED"))</f>
        <v/>
      </c>
      <c r="Q142" s="58">
        <f>IF($A142="","",$A142&amp;"|"&amp;$B142&amp;"|"&amp;$C142)</f>
        <v/>
      </c>
      <c r="R142" s="59" t="n"/>
      <c r="S142" s="60" t="n"/>
    </row>
    <row r="143" ht="15" customHeight="1" s="34">
      <c r="A143" s="54" t="n"/>
      <c r="B143" s="54" t="n"/>
      <c r="C143" s="54" t="n"/>
      <c r="D143" s="55">
        <f>IF($A143="","",IFERROR(INDEX(Baseline!$B$20:$B$49,MATCH($C143,Baseline!$A$20:$A$49,0)),"Line not in baseline"))</f>
        <v/>
      </c>
      <c r="E143" s="55">
        <f>IF($A143="","",IFERROR(INDEX(Baseline!$C$20:$C$49,MATCH($C143,Baseline!$A$20:$A$49,0)),""))</f>
        <v/>
      </c>
      <c r="F143" s="56">
        <f>IF($A143="","",IFERROR(INDEX(Baseline!$E$20:$E$49,MATCH($C143,Baseline!$A$20:$A$49,0)),""))</f>
        <v/>
      </c>
      <c r="G143" s="57" t="n"/>
      <c r="H143" s="54" t="n"/>
      <c r="I143" s="54" t="n"/>
      <c r="J143" s="39">
        <f>IF($A143="","",IF($E143="Informational","GREEN",IF($G143="",IF($E143="Mandatory","RED","YELLOW"),IF($N143="Exact",IF(UPPER(TRIM($G143&amp;""))=UPPER(TRIM($F143&amp;"")),"GREEN",$P143),IF(NOT(ISNUMBER($G143)),$P143,IF($N143="Min",IF($G143&gt;=$F143,"GREEN",IF($G143&gt;=$F143-$O143,"YELLOW",$P143)),IF($N143="Max",IF($G143&lt;=$F143,"GREEN",IF($G143&lt;=$F143+$O143,"YELLOW",$P143)),IF($N143="Range",IF(ABS($G143-$F143)&lt;=$O143,"GREEN",$P143),"CHECK RULE"))))))))</f>
        <v/>
      </c>
      <c r="K143" s="39">
        <f>IF($A143="","",IF($H143="Non-Compliant","RED",IF(AND(OR($H143="Alternative Offer",$H143="Partially Compliant"),$J143="GREEN"),"YELLOW",IF(AND($J143="GREEN",ISNUMBER($R143),$R143&lt;Baseline!$B$9),"YELLOW",$J143))))</f>
        <v/>
      </c>
      <c r="L143" s="39">
        <f>IF($A143="","",IF($K143="GREEN","GREEN",IF(COUNTIFS(Exceptions!$B$5:$B$104,$A143,Exceptions!$C$5:$C$104,$B143,Exceptions!$D$5:$D$104,$C143,Exceptions!$G$5:$G$104,"Accepted",Exceptions!$H$5:$H$104,"&lt;&gt;")&gt;0,"CLEARED",$K143)))</f>
        <v/>
      </c>
      <c r="M143" s="39">
        <f>IF($A143="","",IF($H143="","Declaration missing",IF($H143="Not Stated","Not stated in quotation",IF(AND(ISNUMBER($R143),$R143&lt;Baseline!$B$9),"Low AI confidence - verify",IF(AND($H143="Fully Compliant",$J143&lt;&gt;"GREEN"),"Declared Fully - evidence differs","")))))</f>
        <v/>
      </c>
      <c r="N143" s="58">
        <f>IF($A143="","",IFERROR(INDEX(Baseline!$D$20:$D$49,MATCH($C143,Baseline!$A$20:$A$49,0)),""))</f>
        <v/>
      </c>
      <c r="O143" s="58">
        <f>IF($A143="","",IFERROR(INDEX(Baseline!$F$20:$F$49,MATCH($C143,Baseline!$A$20:$A$49,0)),0))</f>
        <v/>
      </c>
      <c r="P143" s="58">
        <f>IF($A143="","",IFERROR(INDEX(Baseline!$G$20:$G$49,MATCH($C143,Baseline!$A$20:$A$49,0)),"RED"))</f>
        <v/>
      </c>
      <c r="Q143" s="58">
        <f>IF($A143="","",$A143&amp;"|"&amp;$B143&amp;"|"&amp;$C143)</f>
        <v/>
      </c>
      <c r="R143" s="59" t="n"/>
      <c r="S143" s="60" t="n"/>
    </row>
    <row r="144" ht="15" customHeight="1" s="34">
      <c r="A144" s="54" t="n"/>
      <c r="B144" s="54" t="n"/>
      <c r="C144" s="54" t="n"/>
      <c r="D144" s="55">
        <f>IF($A144="","",IFERROR(INDEX(Baseline!$B$20:$B$49,MATCH($C144,Baseline!$A$20:$A$49,0)),"Line not in baseline"))</f>
        <v/>
      </c>
      <c r="E144" s="55">
        <f>IF($A144="","",IFERROR(INDEX(Baseline!$C$20:$C$49,MATCH($C144,Baseline!$A$20:$A$49,0)),""))</f>
        <v/>
      </c>
      <c r="F144" s="56">
        <f>IF($A144="","",IFERROR(INDEX(Baseline!$E$20:$E$49,MATCH($C144,Baseline!$A$20:$A$49,0)),""))</f>
        <v/>
      </c>
      <c r="G144" s="57" t="n"/>
      <c r="H144" s="54" t="n"/>
      <c r="I144" s="54" t="n"/>
      <c r="J144" s="39">
        <f>IF($A144="","",IF($E144="Informational","GREEN",IF($G144="",IF($E144="Mandatory","RED","YELLOW"),IF($N144="Exact",IF(UPPER(TRIM($G144&amp;""))=UPPER(TRIM($F144&amp;"")),"GREEN",$P144),IF(NOT(ISNUMBER($G144)),$P144,IF($N144="Min",IF($G144&gt;=$F144,"GREEN",IF($G144&gt;=$F144-$O144,"YELLOW",$P144)),IF($N144="Max",IF($G144&lt;=$F144,"GREEN",IF($G144&lt;=$F144+$O144,"YELLOW",$P144)),IF($N144="Range",IF(ABS($G144-$F144)&lt;=$O144,"GREEN",$P144),"CHECK RULE"))))))))</f>
        <v/>
      </c>
      <c r="K144" s="39">
        <f>IF($A144="","",IF($H144="Non-Compliant","RED",IF(AND(OR($H144="Alternative Offer",$H144="Partially Compliant"),$J144="GREEN"),"YELLOW",IF(AND($J144="GREEN",ISNUMBER($R144),$R144&lt;Baseline!$B$9),"YELLOW",$J144))))</f>
        <v/>
      </c>
      <c r="L144" s="39">
        <f>IF($A144="","",IF($K144="GREEN","GREEN",IF(COUNTIFS(Exceptions!$B$5:$B$104,$A144,Exceptions!$C$5:$C$104,$B144,Exceptions!$D$5:$D$104,$C144,Exceptions!$G$5:$G$104,"Accepted",Exceptions!$H$5:$H$104,"&lt;&gt;")&gt;0,"CLEARED",$K144)))</f>
        <v/>
      </c>
      <c r="M144" s="39">
        <f>IF($A144="","",IF($H144="","Declaration missing",IF($H144="Not Stated","Not stated in quotation",IF(AND(ISNUMBER($R144),$R144&lt;Baseline!$B$9),"Low AI confidence - verify",IF(AND($H144="Fully Compliant",$J144&lt;&gt;"GREEN"),"Declared Fully - evidence differs","")))))</f>
        <v/>
      </c>
      <c r="N144" s="58">
        <f>IF($A144="","",IFERROR(INDEX(Baseline!$D$20:$D$49,MATCH($C144,Baseline!$A$20:$A$49,0)),""))</f>
        <v/>
      </c>
      <c r="O144" s="58">
        <f>IF($A144="","",IFERROR(INDEX(Baseline!$F$20:$F$49,MATCH($C144,Baseline!$A$20:$A$49,0)),0))</f>
        <v/>
      </c>
      <c r="P144" s="58">
        <f>IF($A144="","",IFERROR(INDEX(Baseline!$G$20:$G$49,MATCH($C144,Baseline!$A$20:$A$49,0)),"RED"))</f>
        <v/>
      </c>
      <c r="Q144" s="58">
        <f>IF($A144="","",$A144&amp;"|"&amp;$B144&amp;"|"&amp;$C144)</f>
        <v/>
      </c>
      <c r="R144" s="59" t="n"/>
      <c r="S144" s="60" t="n"/>
    </row>
    <row r="145" ht="15" customHeight="1" s="34">
      <c r="A145" s="54" t="n"/>
      <c r="B145" s="54" t="n"/>
      <c r="C145" s="54" t="n"/>
      <c r="D145" s="55">
        <f>IF($A145="","",IFERROR(INDEX(Baseline!$B$20:$B$49,MATCH($C145,Baseline!$A$20:$A$49,0)),"Line not in baseline"))</f>
        <v/>
      </c>
      <c r="E145" s="55">
        <f>IF($A145="","",IFERROR(INDEX(Baseline!$C$20:$C$49,MATCH($C145,Baseline!$A$20:$A$49,0)),""))</f>
        <v/>
      </c>
      <c r="F145" s="56">
        <f>IF($A145="","",IFERROR(INDEX(Baseline!$E$20:$E$49,MATCH($C145,Baseline!$A$20:$A$49,0)),""))</f>
        <v/>
      </c>
      <c r="G145" s="57" t="n"/>
      <c r="H145" s="54" t="n"/>
      <c r="I145" s="54" t="n"/>
      <c r="J145" s="39">
        <f>IF($A145="","",IF($E145="Informational","GREEN",IF($G145="",IF($E145="Mandatory","RED","YELLOW"),IF($N145="Exact",IF(UPPER(TRIM($G145&amp;""))=UPPER(TRIM($F145&amp;"")),"GREEN",$P145),IF(NOT(ISNUMBER($G145)),$P145,IF($N145="Min",IF($G145&gt;=$F145,"GREEN",IF($G145&gt;=$F145-$O145,"YELLOW",$P145)),IF($N145="Max",IF($G145&lt;=$F145,"GREEN",IF($G145&lt;=$F145+$O145,"YELLOW",$P145)),IF($N145="Range",IF(ABS($G145-$F145)&lt;=$O145,"GREEN",$P145),"CHECK RULE"))))))))</f>
        <v/>
      </c>
      <c r="K145" s="39">
        <f>IF($A145="","",IF($H145="Non-Compliant","RED",IF(AND(OR($H145="Alternative Offer",$H145="Partially Compliant"),$J145="GREEN"),"YELLOW",IF(AND($J145="GREEN",ISNUMBER($R145),$R145&lt;Baseline!$B$9),"YELLOW",$J145))))</f>
        <v/>
      </c>
      <c r="L145" s="39">
        <f>IF($A145="","",IF($K145="GREEN","GREEN",IF(COUNTIFS(Exceptions!$B$5:$B$104,$A145,Exceptions!$C$5:$C$104,$B145,Exceptions!$D$5:$D$104,$C145,Exceptions!$G$5:$G$104,"Accepted",Exceptions!$H$5:$H$104,"&lt;&gt;")&gt;0,"CLEARED",$K145)))</f>
        <v/>
      </c>
      <c r="M145" s="39">
        <f>IF($A145="","",IF($H145="","Declaration missing",IF($H145="Not Stated","Not stated in quotation",IF(AND(ISNUMBER($R145),$R145&lt;Baseline!$B$9),"Low AI confidence - verify",IF(AND($H145="Fully Compliant",$J145&lt;&gt;"GREEN"),"Declared Fully - evidence differs","")))))</f>
        <v/>
      </c>
      <c r="N145" s="58">
        <f>IF($A145="","",IFERROR(INDEX(Baseline!$D$20:$D$49,MATCH($C145,Baseline!$A$20:$A$49,0)),""))</f>
        <v/>
      </c>
      <c r="O145" s="58">
        <f>IF($A145="","",IFERROR(INDEX(Baseline!$F$20:$F$49,MATCH($C145,Baseline!$A$20:$A$49,0)),0))</f>
        <v/>
      </c>
      <c r="P145" s="58">
        <f>IF($A145="","",IFERROR(INDEX(Baseline!$G$20:$G$49,MATCH($C145,Baseline!$A$20:$A$49,0)),"RED"))</f>
        <v/>
      </c>
      <c r="Q145" s="58">
        <f>IF($A145="","",$A145&amp;"|"&amp;$B145&amp;"|"&amp;$C145)</f>
        <v/>
      </c>
      <c r="R145" s="59" t="n"/>
      <c r="S145" s="60" t="n"/>
    </row>
    <row r="146" ht="15" customHeight="1" s="34">
      <c r="A146" s="54" t="n"/>
      <c r="B146" s="54" t="n"/>
      <c r="C146" s="54" t="n"/>
      <c r="D146" s="55">
        <f>IF($A146="","",IFERROR(INDEX(Baseline!$B$20:$B$49,MATCH($C146,Baseline!$A$20:$A$49,0)),"Line not in baseline"))</f>
        <v/>
      </c>
      <c r="E146" s="55">
        <f>IF($A146="","",IFERROR(INDEX(Baseline!$C$20:$C$49,MATCH($C146,Baseline!$A$20:$A$49,0)),""))</f>
        <v/>
      </c>
      <c r="F146" s="56">
        <f>IF($A146="","",IFERROR(INDEX(Baseline!$E$20:$E$49,MATCH($C146,Baseline!$A$20:$A$49,0)),""))</f>
        <v/>
      </c>
      <c r="G146" s="57" t="n"/>
      <c r="H146" s="54" t="n"/>
      <c r="I146" s="54" t="n"/>
      <c r="J146" s="39">
        <f>IF($A146="","",IF($E146="Informational","GREEN",IF($G146="",IF($E146="Mandatory","RED","YELLOW"),IF($N146="Exact",IF(UPPER(TRIM($G146&amp;""))=UPPER(TRIM($F146&amp;"")),"GREEN",$P146),IF(NOT(ISNUMBER($G146)),$P146,IF($N146="Min",IF($G146&gt;=$F146,"GREEN",IF($G146&gt;=$F146-$O146,"YELLOW",$P146)),IF($N146="Max",IF($G146&lt;=$F146,"GREEN",IF($G146&lt;=$F146+$O146,"YELLOW",$P146)),IF($N146="Range",IF(ABS($G146-$F146)&lt;=$O146,"GREEN",$P146),"CHECK RULE"))))))))</f>
        <v/>
      </c>
      <c r="K146" s="39">
        <f>IF($A146="","",IF($H146="Non-Compliant","RED",IF(AND(OR($H146="Alternative Offer",$H146="Partially Compliant"),$J146="GREEN"),"YELLOW",IF(AND($J146="GREEN",ISNUMBER($R146),$R146&lt;Baseline!$B$9),"YELLOW",$J146))))</f>
        <v/>
      </c>
      <c r="L146" s="39">
        <f>IF($A146="","",IF($K146="GREEN","GREEN",IF(COUNTIFS(Exceptions!$B$5:$B$104,$A146,Exceptions!$C$5:$C$104,$B146,Exceptions!$D$5:$D$104,$C146,Exceptions!$G$5:$G$104,"Accepted",Exceptions!$H$5:$H$104,"&lt;&gt;")&gt;0,"CLEARED",$K146)))</f>
        <v/>
      </c>
      <c r="M146" s="39">
        <f>IF($A146="","",IF($H146="","Declaration missing",IF($H146="Not Stated","Not stated in quotation",IF(AND(ISNUMBER($R146),$R146&lt;Baseline!$B$9),"Low AI confidence - verify",IF(AND($H146="Fully Compliant",$J146&lt;&gt;"GREEN"),"Declared Fully - evidence differs","")))))</f>
        <v/>
      </c>
      <c r="N146" s="58">
        <f>IF($A146="","",IFERROR(INDEX(Baseline!$D$20:$D$49,MATCH($C146,Baseline!$A$20:$A$49,0)),""))</f>
        <v/>
      </c>
      <c r="O146" s="58">
        <f>IF($A146="","",IFERROR(INDEX(Baseline!$F$20:$F$49,MATCH($C146,Baseline!$A$20:$A$49,0)),0))</f>
        <v/>
      </c>
      <c r="P146" s="58">
        <f>IF($A146="","",IFERROR(INDEX(Baseline!$G$20:$G$49,MATCH($C146,Baseline!$A$20:$A$49,0)),"RED"))</f>
        <v/>
      </c>
      <c r="Q146" s="58">
        <f>IF($A146="","",$A146&amp;"|"&amp;$B146&amp;"|"&amp;$C146)</f>
        <v/>
      </c>
      <c r="R146" s="59" t="n"/>
      <c r="S146" s="60" t="n"/>
    </row>
    <row r="147" ht="15" customHeight="1" s="34">
      <c r="A147" s="54" t="n"/>
      <c r="B147" s="54" t="n"/>
      <c r="C147" s="54" t="n"/>
      <c r="D147" s="55">
        <f>IF($A147="","",IFERROR(INDEX(Baseline!$B$20:$B$49,MATCH($C147,Baseline!$A$20:$A$49,0)),"Line not in baseline"))</f>
        <v/>
      </c>
      <c r="E147" s="55">
        <f>IF($A147="","",IFERROR(INDEX(Baseline!$C$20:$C$49,MATCH($C147,Baseline!$A$20:$A$49,0)),""))</f>
        <v/>
      </c>
      <c r="F147" s="56">
        <f>IF($A147="","",IFERROR(INDEX(Baseline!$E$20:$E$49,MATCH($C147,Baseline!$A$20:$A$49,0)),""))</f>
        <v/>
      </c>
      <c r="G147" s="57" t="n"/>
      <c r="H147" s="54" t="n"/>
      <c r="I147" s="54" t="n"/>
      <c r="J147" s="39">
        <f>IF($A147="","",IF($E147="Informational","GREEN",IF($G147="",IF($E147="Mandatory","RED","YELLOW"),IF($N147="Exact",IF(UPPER(TRIM($G147&amp;""))=UPPER(TRIM($F147&amp;"")),"GREEN",$P147),IF(NOT(ISNUMBER($G147)),$P147,IF($N147="Min",IF($G147&gt;=$F147,"GREEN",IF($G147&gt;=$F147-$O147,"YELLOW",$P147)),IF($N147="Max",IF($G147&lt;=$F147,"GREEN",IF($G147&lt;=$F147+$O147,"YELLOW",$P147)),IF($N147="Range",IF(ABS($G147-$F147)&lt;=$O147,"GREEN",$P147),"CHECK RULE"))))))))</f>
        <v/>
      </c>
      <c r="K147" s="39">
        <f>IF($A147="","",IF($H147="Non-Compliant","RED",IF(AND(OR($H147="Alternative Offer",$H147="Partially Compliant"),$J147="GREEN"),"YELLOW",IF(AND($J147="GREEN",ISNUMBER($R147),$R147&lt;Baseline!$B$9),"YELLOW",$J147))))</f>
        <v/>
      </c>
      <c r="L147" s="39">
        <f>IF($A147="","",IF($K147="GREEN","GREEN",IF(COUNTIFS(Exceptions!$B$5:$B$104,$A147,Exceptions!$C$5:$C$104,$B147,Exceptions!$D$5:$D$104,$C147,Exceptions!$G$5:$G$104,"Accepted",Exceptions!$H$5:$H$104,"&lt;&gt;")&gt;0,"CLEARED",$K147)))</f>
        <v/>
      </c>
      <c r="M147" s="39">
        <f>IF($A147="","",IF($H147="","Declaration missing",IF($H147="Not Stated","Not stated in quotation",IF(AND(ISNUMBER($R147),$R147&lt;Baseline!$B$9),"Low AI confidence - verify",IF(AND($H147="Fully Compliant",$J147&lt;&gt;"GREEN"),"Declared Fully - evidence differs","")))))</f>
        <v/>
      </c>
      <c r="N147" s="58">
        <f>IF($A147="","",IFERROR(INDEX(Baseline!$D$20:$D$49,MATCH($C147,Baseline!$A$20:$A$49,0)),""))</f>
        <v/>
      </c>
      <c r="O147" s="58">
        <f>IF($A147="","",IFERROR(INDEX(Baseline!$F$20:$F$49,MATCH($C147,Baseline!$A$20:$A$49,0)),0))</f>
        <v/>
      </c>
      <c r="P147" s="58">
        <f>IF($A147="","",IFERROR(INDEX(Baseline!$G$20:$G$49,MATCH($C147,Baseline!$A$20:$A$49,0)),"RED"))</f>
        <v/>
      </c>
      <c r="Q147" s="58">
        <f>IF($A147="","",$A147&amp;"|"&amp;$B147&amp;"|"&amp;$C147)</f>
        <v/>
      </c>
      <c r="R147" s="59" t="n"/>
      <c r="S147" s="60" t="n"/>
    </row>
    <row r="148" ht="15" customHeight="1" s="34">
      <c r="A148" s="54" t="n"/>
      <c r="B148" s="54" t="n"/>
      <c r="C148" s="54" t="n"/>
      <c r="D148" s="55">
        <f>IF($A148="","",IFERROR(INDEX(Baseline!$B$20:$B$49,MATCH($C148,Baseline!$A$20:$A$49,0)),"Line not in baseline"))</f>
        <v/>
      </c>
      <c r="E148" s="55">
        <f>IF($A148="","",IFERROR(INDEX(Baseline!$C$20:$C$49,MATCH($C148,Baseline!$A$20:$A$49,0)),""))</f>
        <v/>
      </c>
      <c r="F148" s="56">
        <f>IF($A148="","",IFERROR(INDEX(Baseline!$E$20:$E$49,MATCH($C148,Baseline!$A$20:$A$49,0)),""))</f>
        <v/>
      </c>
      <c r="G148" s="57" t="n"/>
      <c r="H148" s="54" t="n"/>
      <c r="I148" s="54" t="n"/>
      <c r="J148" s="39">
        <f>IF($A148="","",IF($E148="Informational","GREEN",IF($G148="",IF($E148="Mandatory","RED","YELLOW"),IF($N148="Exact",IF(UPPER(TRIM($G148&amp;""))=UPPER(TRIM($F148&amp;"")),"GREEN",$P148),IF(NOT(ISNUMBER($G148)),$P148,IF($N148="Min",IF($G148&gt;=$F148,"GREEN",IF($G148&gt;=$F148-$O148,"YELLOW",$P148)),IF($N148="Max",IF($G148&lt;=$F148,"GREEN",IF($G148&lt;=$F148+$O148,"YELLOW",$P148)),IF($N148="Range",IF(ABS($G148-$F148)&lt;=$O148,"GREEN",$P148),"CHECK RULE"))))))))</f>
        <v/>
      </c>
      <c r="K148" s="39">
        <f>IF($A148="","",IF($H148="Non-Compliant","RED",IF(AND(OR($H148="Alternative Offer",$H148="Partially Compliant"),$J148="GREEN"),"YELLOW",IF(AND($J148="GREEN",ISNUMBER($R148),$R148&lt;Baseline!$B$9),"YELLOW",$J148))))</f>
        <v/>
      </c>
      <c r="L148" s="39">
        <f>IF($A148="","",IF($K148="GREEN","GREEN",IF(COUNTIFS(Exceptions!$B$5:$B$104,$A148,Exceptions!$C$5:$C$104,$B148,Exceptions!$D$5:$D$104,$C148,Exceptions!$G$5:$G$104,"Accepted",Exceptions!$H$5:$H$104,"&lt;&gt;")&gt;0,"CLEARED",$K148)))</f>
        <v/>
      </c>
      <c r="M148" s="39">
        <f>IF($A148="","",IF($H148="","Declaration missing",IF($H148="Not Stated","Not stated in quotation",IF(AND(ISNUMBER($R148),$R148&lt;Baseline!$B$9),"Low AI confidence - verify",IF(AND($H148="Fully Compliant",$J148&lt;&gt;"GREEN"),"Declared Fully - evidence differs","")))))</f>
        <v/>
      </c>
      <c r="N148" s="58">
        <f>IF($A148="","",IFERROR(INDEX(Baseline!$D$20:$D$49,MATCH($C148,Baseline!$A$20:$A$49,0)),""))</f>
        <v/>
      </c>
      <c r="O148" s="58">
        <f>IF($A148="","",IFERROR(INDEX(Baseline!$F$20:$F$49,MATCH($C148,Baseline!$A$20:$A$49,0)),0))</f>
        <v/>
      </c>
      <c r="P148" s="58">
        <f>IF($A148="","",IFERROR(INDEX(Baseline!$G$20:$G$49,MATCH($C148,Baseline!$A$20:$A$49,0)),"RED"))</f>
        <v/>
      </c>
      <c r="Q148" s="58">
        <f>IF($A148="","",$A148&amp;"|"&amp;$B148&amp;"|"&amp;$C148)</f>
        <v/>
      </c>
      <c r="R148" s="59" t="n"/>
      <c r="S148" s="60" t="n"/>
    </row>
    <row r="149" ht="15" customHeight="1" s="34">
      <c r="A149" s="54" t="n"/>
      <c r="B149" s="54" t="n"/>
      <c r="C149" s="54" t="n"/>
      <c r="D149" s="55">
        <f>IF($A149="","",IFERROR(INDEX(Baseline!$B$20:$B$49,MATCH($C149,Baseline!$A$20:$A$49,0)),"Line not in baseline"))</f>
        <v/>
      </c>
      <c r="E149" s="55">
        <f>IF($A149="","",IFERROR(INDEX(Baseline!$C$20:$C$49,MATCH($C149,Baseline!$A$20:$A$49,0)),""))</f>
        <v/>
      </c>
      <c r="F149" s="56">
        <f>IF($A149="","",IFERROR(INDEX(Baseline!$E$20:$E$49,MATCH($C149,Baseline!$A$20:$A$49,0)),""))</f>
        <v/>
      </c>
      <c r="G149" s="57" t="n"/>
      <c r="H149" s="54" t="n"/>
      <c r="I149" s="54" t="n"/>
      <c r="J149" s="39">
        <f>IF($A149="","",IF($E149="Informational","GREEN",IF($G149="",IF($E149="Mandatory","RED","YELLOW"),IF($N149="Exact",IF(UPPER(TRIM($G149&amp;""))=UPPER(TRIM($F149&amp;"")),"GREEN",$P149),IF(NOT(ISNUMBER($G149)),$P149,IF($N149="Min",IF($G149&gt;=$F149,"GREEN",IF($G149&gt;=$F149-$O149,"YELLOW",$P149)),IF($N149="Max",IF($G149&lt;=$F149,"GREEN",IF($G149&lt;=$F149+$O149,"YELLOW",$P149)),IF($N149="Range",IF(ABS($G149-$F149)&lt;=$O149,"GREEN",$P149),"CHECK RULE"))))))))</f>
        <v/>
      </c>
      <c r="K149" s="39">
        <f>IF($A149="","",IF($H149="Non-Compliant","RED",IF(AND(OR($H149="Alternative Offer",$H149="Partially Compliant"),$J149="GREEN"),"YELLOW",IF(AND($J149="GREEN",ISNUMBER($R149),$R149&lt;Baseline!$B$9),"YELLOW",$J149))))</f>
        <v/>
      </c>
      <c r="L149" s="39">
        <f>IF($A149="","",IF($K149="GREEN","GREEN",IF(COUNTIFS(Exceptions!$B$5:$B$104,$A149,Exceptions!$C$5:$C$104,$B149,Exceptions!$D$5:$D$104,$C149,Exceptions!$G$5:$G$104,"Accepted",Exceptions!$H$5:$H$104,"&lt;&gt;")&gt;0,"CLEARED",$K149)))</f>
        <v/>
      </c>
      <c r="M149" s="39">
        <f>IF($A149="","",IF($H149="","Declaration missing",IF($H149="Not Stated","Not stated in quotation",IF(AND(ISNUMBER($R149),$R149&lt;Baseline!$B$9),"Low AI confidence - verify",IF(AND($H149="Fully Compliant",$J149&lt;&gt;"GREEN"),"Declared Fully - evidence differs","")))))</f>
        <v/>
      </c>
      <c r="N149" s="58">
        <f>IF($A149="","",IFERROR(INDEX(Baseline!$D$20:$D$49,MATCH($C149,Baseline!$A$20:$A$49,0)),""))</f>
        <v/>
      </c>
      <c r="O149" s="58">
        <f>IF($A149="","",IFERROR(INDEX(Baseline!$F$20:$F$49,MATCH($C149,Baseline!$A$20:$A$49,0)),0))</f>
        <v/>
      </c>
      <c r="P149" s="58">
        <f>IF($A149="","",IFERROR(INDEX(Baseline!$G$20:$G$49,MATCH($C149,Baseline!$A$20:$A$49,0)),"RED"))</f>
        <v/>
      </c>
      <c r="Q149" s="58">
        <f>IF($A149="","",$A149&amp;"|"&amp;$B149&amp;"|"&amp;$C149)</f>
        <v/>
      </c>
      <c r="R149" s="59" t="n"/>
      <c r="S149" s="60" t="n"/>
    </row>
    <row r="150" ht="15" customHeight="1" s="34">
      <c r="A150" s="54" t="n"/>
      <c r="B150" s="54" t="n"/>
      <c r="C150" s="54" t="n"/>
      <c r="D150" s="55">
        <f>IF($A150="","",IFERROR(INDEX(Baseline!$B$20:$B$49,MATCH($C150,Baseline!$A$20:$A$49,0)),"Line not in baseline"))</f>
        <v/>
      </c>
      <c r="E150" s="55">
        <f>IF($A150="","",IFERROR(INDEX(Baseline!$C$20:$C$49,MATCH($C150,Baseline!$A$20:$A$49,0)),""))</f>
        <v/>
      </c>
      <c r="F150" s="56">
        <f>IF($A150="","",IFERROR(INDEX(Baseline!$E$20:$E$49,MATCH($C150,Baseline!$A$20:$A$49,0)),""))</f>
        <v/>
      </c>
      <c r="G150" s="57" t="n"/>
      <c r="H150" s="54" t="n"/>
      <c r="I150" s="54" t="n"/>
      <c r="J150" s="39">
        <f>IF($A150="","",IF($E150="Informational","GREEN",IF($G150="",IF($E150="Mandatory","RED","YELLOW"),IF($N150="Exact",IF(UPPER(TRIM($G150&amp;""))=UPPER(TRIM($F150&amp;"")),"GREEN",$P150),IF(NOT(ISNUMBER($G150)),$P150,IF($N150="Min",IF($G150&gt;=$F150,"GREEN",IF($G150&gt;=$F150-$O150,"YELLOW",$P150)),IF($N150="Max",IF($G150&lt;=$F150,"GREEN",IF($G150&lt;=$F150+$O150,"YELLOW",$P150)),IF($N150="Range",IF(ABS($G150-$F150)&lt;=$O150,"GREEN",$P150),"CHECK RULE"))))))))</f>
        <v/>
      </c>
      <c r="K150" s="39">
        <f>IF($A150="","",IF($H150="Non-Compliant","RED",IF(AND(OR($H150="Alternative Offer",$H150="Partially Compliant"),$J150="GREEN"),"YELLOW",IF(AND($J150="GREEN",ISNUMBER($R150),$R150&lt;Baseline!$B$9),"YELLOW",$J150))))</f>
        <v/>
      </c>
      <c r="L150" s="39">
        <f>IF($A150="","",IF($K150="GREEN","GREEN",IF(COUNTIFS(Exceptions!$B$5:$B$104,$A150,Exceptions!$C$5:$C$104,$B150,Exceptions!$D$5:$D$104,$C150,Exceptions!$G$5:$G$104,"Accepted",Exceptions!$H$5:$H$104,"&lt;&gt;")&gt;0,"CLEARED",$K150)))</f>
        <v/>
      </c>
      <c r="M150" s="39">
        <f>IF($A150="","",IF($H150="","Declaration missing",IF($H150="Not Stated","Not stated in quotation",IF(AND(ISNUMBER($R150),$R150&lt;Baseline!$B$9),"Low AI confidence - verify",IF(AND($H150="Fully Compliant",$J150&lt;&gt;"GREEN"),"Declared Fully - evidence differs","")))))</f>
        <v/>
      </c>
      <c r="N150" s="58">
        <f>IF($A150="","",IFERROR(INDEX(Baseline!$D$20:$D$49,MATCH($C150,Baseline!$A$20:$A$49,0)),""))</f>
        <v/>
      </c>
      <c r="O150" s="58">
        <f>IF($A150="","",IFERROR(INDEX(Baseline!$F$20:$F$49,MATCH($C150,Baseline!$A$20:$A$49,0)),0))</f>
        <v/>
      </c>
      <c r="P150" s="58">
        <f>IF($A150="","",IFERROR(INDEX(Baseline!$G$20:$G$49,MATCH($C150,Baseline!$A$20:$A$49,0)),"RED"))</f>
        <v/>
      </c>
      <c r="Q150" s="58">
        <f>IF($A150="","",$A150&amp;"|"&amp;$B150&amp;"|"&amp;$C150)</f>
        <v/>
      </c>
      <c r="R150" s="59" t="n"/>
      <c r="S150" s="60" t="n"/>
    </row>
    <row r="151" ht="15" customHeight="1" s="34">
      <c r="A151" s="54" t="n"/>
      <c r="B151" s="54" t="n"/>
      <c r="C151" s="54" t="n"/>
      <c r="D151" s="55">
        <f>IF($A151="","",IFERROR(INDEX(Baseline!$B$20:$B$49,MATCH($C151,Baseline!$A$20:$A$49,0)),"Line not in baseline"))</f>
        <v/>
      </c>
      <c r="E151" s="55">
        <f>IF($A151="","",IFERROR(INDEX(Baseline!$C$20:$C$49,MATCH($C151,Baseline!$A$20:$A$49,0)),""))</f>
        <v/>
      </c>
      <c r="F151" s="56">
        <f>IF($A151="","",IFERROR(INDEX(Baseline!$E$20:$E$49,MATCH($C151,Baseline!$A$20:$A$49,0)),""))</f>
        <v/>
      </c>
      <c r="G151" s="57" t="n"/>
      <c r="H151" s="54" t="n"/>
      <c r="I151" s="54" t="n"/>
      <c r="J151" s="39">
        <f>IF($A151="","",IF($E151="Informational","GREEN",IF($G151="",IF($E151="Mandatory","RED","YELLOW"),IF($N151="Exact",IF(UPPER(TRIM($G151&amp;""))=UPPER(TRIM($F151&amp;"")),"GREEN",$P151),IF(NOT(ISNUMBER($G151)),$P151,IF($N151="Min",IF($G151&gt;=$F151,"GREEN",IF($G151&gt;=$F151-$O151,"YELLOW",$P151)),IF($N151="Max",IF($G151&lt;=$F151,"GREEN",IF($G151&lt;=$F151+$O151,"YELLOW",$P151)),IF($N151="Range",IF(ABS($G151-$F151)&lt;=$O151,"GREEN",$P151),"CHECK RULE"))))))))</f>
        <v/>
      </c>
      <c r="K151" s="39">
        <f>IF($A151="","",IF($H151="Non-Compliant","RED",IF(AND(OR($H151="Alternative Offer",$H151="Partially Compliant"),$J151="GREEN"),"YELLOW",IF(AND($J151="GREEN",ISNUMBER($R151),$R151&lt;Baseline!$B$9),"YELLOW",$J151))))</f>
        <v/>
      </c>
      <c r="L151" s="39">
        <f>IF($A151="","",IF($K151="GREEN","GREEN",IF(COUNTIFS(Exceptions!$B$5:$B$104,$A151,Exceptions!$C$5:$C$104,$B151,Exceptions!$D$5:$D$104,$C151,Exceptions!$G$5:$G$104,"Accepted",Exceptions!$H$5:$H$104,"&lt;&gt;")&gt;0,"CLEARED",$K151)))</f>
        <v/>
      </c>
      <c r="M151" s="39">
        <f>IF($A151="","",IF($H151="","Declaration missing",IF($H151="Not Stated","Not stated in quotation",IF(AND(ISNUMBER($R151),$R151&lt;Baseline!$B$9),"Low AI confidence - verify",IF(AND($H151="Fully Compliant",$J151&lt;&gt;"GREEN"),"Declared Fully - evidence differs","")))))</f>
        <v/>
      </c>
      <c r="N151" s="58">
        <f>IF($A151="","",IFERROR(INDEX(Baseline!$D$20:$D$49,MATCH($C151,Baseline!$A$20:$A$49,0)),""))</f>
        <v/>
      </c>
      <c r="O151" s="58">
        <f>IF($A151="","",IFERROR(INDEX(Baseline!$F$20:$F$49,MATCH($C151,Baseline!$A$20:$A$49,0)),0))</f>
        <v/>
      </c>
      <c r="P151" s="58">
        <f>IF($A151="","",IFERROR(INDEX(Baseline!$G$20:$G$49,MATCH($C151,Baseline!$A$20:$A$49,0)),"RED"))</f>
        <v/>
      </c>
      <c r="Q151" s="58">
        <f>IF($A151="","",$A151&amp;"|"&amp;$B151&amp;"|"&amp;$C151)</f>
        <v/>
      </c>
      <c r="R151" s="59" t="n"/>
      <c r="S151" s="60" t="n"/>
    </row>
    <row r="152" ht="15" customHeight="1" s="34">
      <c r="A152" s="54" t="n"/>
      <c r="B152" s="54" t="n"/>
      <c r="C152" s="54" t="n"/>
      <c r="D152" s="55">
        <f>IF($A152="","",IFERROR(INDEX(Baseline!$B$20:$B$49,MATCH($C152,Baseline!$A$20:$A$49,0)),"Line not in baseline"))</f>
        <v/>
      </c>
      <c r="E152" s="55">
        <f>IF($A152="","",IFERROR(INDEX(Baseline!$C$20:$C$49,MATCH($C152,Baseline!$A$20:$A$49,0)),""))</f>
        <v/>
      </c>
      <c r="F152" s="56">
        <f>IF($A152="","",IFERROR(INDEX(Baseline!$E$20:$E$49,MATCH($C152,Baseline!$A$20:$A$49,0)),""))</f>
        <v/>
      </c>
      <c r="G152" s="57" t="n"/>
      <c r="H152" s="54" t="n"/>
      <c r="I152" s="54" t="n"/>
      <c r="J152" s="39">
        <f>IF($A152="","",IF($E152="Informational","GREEN",IF($G152="",IF($E152="Mandatory","RED","YELLOW"),IF($N152="Exact",IF(UPPER(TRIM($G152&amp;""))=UPPER(TRIM($F152&amp;"")),"GREEN",$P152),IF(NOT(ISNUMBER($G152)),$P152,IF($N152="Min",IF($G152&gt;=$F152,"GREEN",IF($G152&gt;=$F152-$O152,"YELLOW",$P152)),IF($N152="Max",IF($G152&lt;=$F152,"GREEN",IF($G152&lt;=$F152+$O152,"YELLOW",$P152)),IF($N152="Range",IF(ABS($G152-$F152)&lt;=$O152,"GREEN",$P152),"CHECK RULE"))))))))</f>
        <v/>
      </c>
      <c r="K152" s="39">
        <f>IF($A152="","",IF($H152="Non-Compliant","RED",IF(AND(OR($H152="Alternative Offer",$H152="Partially Compliant"),$J152="GREEN"),"YELLOW",IF(AND($J152="GREEN",ISNUMBER($R152),$R152&lt;Baseline!$B$9),"YELLOW",$J152))))</f>
        <v/>
      </c>
      <c r="L152" s="39">
        <f>IF($A152="","",IF($K152="GREEN","GREEN",IF(COUNTIFS(Exceptions!$B$5:$B$104,$A152,Exceptions!$C$5:$C$104,$B152,Exceptions!$D$5:$D$104,$C152,Exceptions!$G$5:$G$104,"Accepted",Exceptions!$H$5:$H$104,"&lt;&gt;")&gt;0,"CLEARED",$K152)))</f>
        <v/>
      </c>
      <c r="M152" s="39">
        <f>IF($A152="","",IF($H152="","Declaration missing",IF($H152="Not Stated","Not stated in quotation",IF(AND(ISNUMBER($R152),$R152&lt;Baseline!$B$9),"Low AI confidence - verify",IF(AND($H152="Fully Compliant",$J152&lt;&gt;"GREEN"),"Declared Fully - evidence differs","")))))</f>
        <v/>
      </c>
      <c r="N152" s="58">
        <f>IF($A152="","",IFERROR(INDEX(Baseline!$D$20:$D$49,MATCH($C152,Baseline!$A$20:$A$49,0)),""))</f>
        <v/>
      </c>
      <c r="O152" s="58">
        <f>IF($A152="","",IFERROR(INDEX(Baseline!$F$20:$F$49,MATCH($C152,Baseline!$A$20:$A$49,0)),0))</f>
        <v/>
      </c>
      <c r="P152" s="58">
        <f>IF($A152="","",IFERROR(INDEX(Baseline!$G$20:$G$49,MATCH($C152,Baseline!$A$20:$A$49,0)),"RED"))</f>
        <v/>
      </c>
      <c r="Q152" s="58">
        <f>IF($A152="","",$A152&amp;"|"&amp;$B152&amp;"|"&amp;$C152)</f>
        <v/>
      </c>
      <c r="R152" s="59" t="n"/>
      <c r="S152" s="60" t="n"/>
    </row>
    <row r="153" ht="15" customHeight="1" s="34">
      <c r="A153" s="54" t="n"/>
      <c r="B153" s="54" t="n"/>
      <c r="C153" s="54" t="n"/>
      <c r="D153" s="55">
        <f>IF($A153="","",IFERROR(INDEX(Baseline!$B$20:$B$49,MATCH($C153,Baseline!$A$20:$A$49,0)),"Line not in baseline"))</f>
        <v/>
      </c>
      <c r="E153" s="55">
        <f>IF($A153="","",IFERROR(INDEX(Baseline!$C$20:$C$49,MATCH($C153,Baseline!$A$20:$A$49,0)),""))</f>
        <v/>
      </c>
      <c r="F153" s="56">
        <f>IF($A153="","",IFERROR(INDEX(Baseline!$E$20:$E$49,MATCH($C153,Baseline!$A$20:$A$49,0)),""))</f>
        <v/>
      </c>
      <c r="G153" s="57" t="n"/>
      <c r="H153" s="54" t="n"/>
      <c r="I153" s="54" t="n"/>
      <c r="J153" s="39">
        <f>IF($A153="","",IF($E153="Informational","GREEN",IF($G153="",IF($E153="Mandatory","RED","YELLOW"),IF($N153="Exact",IF(UPPER(TRIM($G153&amp;""))=UPPER(TRIM($F153&amp;"")),"GREEN",$P153),IF(NOT(ISNUMBER($G153)),$P153,IF($N153="Min",IF($G153&gt;=$F153,"GREEN",IF($G153&gt;=$F153-$O153,"YELLOW",$P153)),IF($N153="Max",IF($G153&lt;=$F153,"GREEN",IF($G153&lt;=$F153+$O153,"YELLOW",$P153)),IF($N153="Range",IF(ABS($G153-$F153)&lt;=$O153,"GREEN",$P153),"CHECK RULE"))))))))</f>
        <v/>
      </c>
      <c r="K153" s="39">
        <f>IF($A153="","",IF($H153="Non-Compliant","RED",IF(AND(OR($H153="Alternative Offer",$H153="Partially Compliant"),$J153="GREEN"),"YELLOW",IF(AND($J153="GREEN",ISNUMBER($R153),$R153&lt;Baseline!$B$9),"YELLOW",$J153))))</f>
        <v/>
      </c>
      <c r="L153" s="39">
        <f>IF($A153="","",IF($K153="GREEN","GREEN",IF(COUNTIFS(Exceptions!$B$5:$B$104,$A153,Exceptions!$C$5:$C$104,$B153,Exceptions!$D$5:$D$104,$C153,Exceptions!$G$5:$G$104,"Accepted",Exceptions!$H$5:$H$104,"&lt;&gt;")&gt;0,"CLEARED",$K153)))</f>
        <v/>
      </c>
      <c r="M153" s="39">
        <f>IF($A153="","",IF($H153="","Declaration missing",IF($H153="Not Stated","Not stated in quotation",IF(AND(ISNUMBER($R153),$R153&lt;Baseline!$B$9),"Low AI confidence - verify",IF(AND($H153="Fully Compliant",$J153&lt;&gt;"GREEN"),"Declared Fully - evidence differs","")))))</f>
        <v/>
      </c>
      <c r="N153" s="58">
        <f>IF($A153="","",IFERROR(INDEX(Baseline!$D$20:$D$49,MATCH($C153,Baseline!$A$20:$A$49,0)),""))</f>
        <v/>
      </c>
      <c r="O153" s="58">
        <f>IF($A153="","",IFERROR(INDEX(Baseline!$F$20:$F$49,MATCH($C153,Baseline!$A$20:$A$49,0)),0))</f>
        <v/>
      </c>
      <c r="P153" s="58">
        <f>IF($A153="","",IFERROR(INDEX(Baseline!$G$20:$G$49,MATCH($C153,Baseline!$A$20:$A$49,0)),"RED"))</f>
        <v/>
      </c>
      <c r="Q153" s="58">
        <f>IF($A153="","",$A153&amp;"|"&amp;$B153&amp;"|"&amp;$C153)</f>
        <v/>
      </c>
      <c r="R153" s="59" t="n"/>
      <c r="S153" s="60" t="n"/>
    </row>
    <row r="154" ht="15" customHeight="1" s="34">
      <c r="A154" s="54" t="n"/>
      <c r="B154" s="54" t="n"/>
      <c r="C154" s="54" t="n"/>
      <c r="D154" s="55">
        <f>IF($A154="","",IFERROR(INDEX(Baseline!$B$20:$B$49,MATCH($C154,Baseline!$A$20:$A$49,0)),"Line not in baseline"))</f>
        <v/>
      </c>
      <c r="E154" s="55">
        <f>IF($A154="","",IFERROR(INDEX(Baseline!$C$20:$C$49,MATCH($C154,Baseline!$A$20:$A$49,0)),""))</f>
        <v/>
      </c>
      <c r="F154" s="56">
        <f>IF($A154="","",IFERROR(INDEX(Baseline!$E$20:$E$49,MATCH($C154,Baseline!$A$20:$A$49,0)),""))</f>
        <v/>
      </c>
      <c r="G154" s="57" t="n"/>
      <c r="H154" s="54" t="n"/>
      <c r="I154" s="54" t="n"/>
      <c r="J154" s="39">
        <f>IF($A154="","",IF($E154="Informational","GREEN",IF($G154="",IF($E154="Mandatory","RED","YELLOW"),IF($N154="Exact",IF(UPPER(TRIM($G154&amp;""))=UPPER(TRIM($F154&amp;"")),"GREEN",$P154),IF(NOT(ISNUMBER($G154)),$P154,IF($N154="Min",IF($G154&gt;=$F154,"GREEN",IF($G154&gt;=$F154-$O154,"YELLOW",$P154)),IF($N154="Max",IF($G154&lt;=$F154,"GREEN",IF($G154&lt;=$F154+$O154,"YELLOW",$P154)),IF($N154="Range",IF(ABS($G154-$F154)&lt;=$O154,"GREEN",$P154),"CHECK RULE"))))))))</f>
        <v/>
      </c>
      <c r="K154" s="39">
        <f>IF($A154="","",IF($H154="Non-Compliant","RED",IF(AND(OR($H154="Alternative Offer",$H154="Partially Compliant"),$J154="GREEN"),"YELLOW",IF(AND($J154="GREEN",ISNUMBER($R154),$R154&lt;Baseline!$B$9),"YELLOW",$J154))))</f>
        <v/>
      </c>
      <c r="L154" s="39">
        <f>IF($A154="","",IF($K154="GREEN","GREEN",IF(COUNTIFS(Exceptions!$B$5:$B$104,$A154,Exceptions!$C$5:$C$104,$B154,Exceptions!$D$5:$D$104,$C154,Exceptions!$G$5:$G$104,"Accepted",Exceptions!$H$5:$H$104,"&lt;&gt;")&gt;0,"CLEARED",$K154)))</f>
        <v/>
      </c>
      <c r="M154" s="39">
        <f>IF($A154="","",IF($H154="","Declaration missing",IF($H154="Not Stated","Not stated in quotation",IF(AND(ISNUMBER($R154),$R154&lt;Baseline!$B$9),"Low AI confidence - verify",IF(AND($H154="Fully Compliant",$J154&lt;&gt;"GREEN"),"Declared Fully - evidence differs","")))))</f>
        <v/>
      </c>
      <c r="N154" s="58">
        <f>IF($A154="","",IFERROR(INDEX(Baseline!$D$20:$D$49,MATCH($C154,Baseline!$A$20:$A$49,0)),""))</f>
        <v/>
      </c>
      <c r="O154" s="58">
        <f>IF($A154="","",IFERROR(INDEX(Baseline!$F$20:$F$49,MATCH($C154,Baseline!$A$20:$A$49,0)),0))</f>
        <v/>
      </c>
      <c r="P154" s="58">
        <f>IF($A154="","",IFERROR(INDEX(Baseline!$G$20:$G$49,MATCH($C154,Baseline!$A$20:$A$49,0)),"RED"))</f>
        <v/>
      </c>
      <c r="Q154" s="58">
        <f>IF($A154="","",$A154&amp;"|"&amp;$B154&amp;"|"&amp;$C154)</f>
        <v/>
      </c>
      <c r="R154" s="59" t="n"/>
      <c r="S154" s="60" t="n"/>
    </row>
    <row r="155" ht="15" customHeight="1" s="34">
      <c r="A155" s="54" t="n"/>
      <c r="B155" s="54" t="n"/>
      <c r="C155" s="54" t="n"/>
      <c r="D155" s="55">
        <f>IF($A155="","",IFERROR(INDEX(Baseline!$B$20:$B$49,MATCH($C155,Baseline!$A$20:$A$49,0)),"Line not in baseline"))</f>
        <v/>
      </c>
      <c r="E155" s="55">
        <f>IF($A155="","",IFERROR(INDEX(Baseline!$C$20:$C$49,MATCH($C155,Baseline!$A$20:$A$49,0)),""))</f>
        <v/>
      </c>
      <c r="F155" s="56">
        <f>IF($A155="","",IFERROR(INDEX(Baseline!$E$20:$E$49,MATCH($C155,Baseline!$A$20:$A$49,0)),""))</f>
        <v/>
      </c>
      <c r="G155" s="57" t="n"/>
      <c r="H155" s="54" t="n"/>
      <c r="I155" s="54" t="n"/>
      <c r="J155" s="39">
        <f>IF($A155="","",IF($E155="Informational","GREEN",IF($G155="",IF($E155="Mandatory","RED","YELLOW"),IF($N155="Exact",IF(UPPER(TRIM($G155&amp;""))=UPPER(TRIM($F155&amp;"")),"GREEN",$P155),IF(NOT(ISNUMBER($G155)),$P155,IF($N155="Min",IF($G155&gt;=$F155,"GREEN",IF($G155&gt;=$F155-$O155,"YELLOW",$P155)),IF($N155="Max",IF($G155&lt;=$F155,"GREEN",IF($G155&lt;=$F155+$O155,"YELLOW",$P155)),IF($N155="Range",IF(ABS($G155-$F155)&lt;=$O155,"GREEN",$P155),"CHECK RULE"))))))))</f>
        <v/>
      </c>
      <c r="K155" s="39">
        <f>IF($A155="","",IF($H155="Non-Compliant","RED",IF(AND(OR($H155="Alternative Offer",$H155="Partially Compliant"),$J155="GREEN"),"YELLOW",IF(AND($J155="GREEN",ISNUMBER($R155),$R155&lt;Baseline!$B$9),"YELLOW",$J155))))</f>
        <v/>
      </c>
      <c r="L155" s="39">
        <f>IF($A155="","",IF($K155="GREEN","GREEN",IF(COUNTIFS(Exceptions!$B$5:$B$104,$A155,Exceptions!$C$5:$C$104,$B155,Exceptions!$D$5:$D$104,$C155,Exceptions!$G$5:$G$104,"Accepted",Exceptions!$H$5:$H$104,"&lt;&gt;")&gt;0,"CLEARED",$K155)))</f>
        <v/>
      </c>
      <c r="M155" s="39">
        <f>IF($A155="","",IF($H155="","Declaration missing",IF($H155="Not Stated","Not stated in quotation",IF(AND(ISNUMBER($R155),$R155&lt;Baseline!$B$9),"Low AI confidence - verify",IF(AND($H155="Fully Compliant",$J155&lt;&gt;"GREEN"),"Declared Fully - evidence differs","")))))</f>
        <v/>
      </c>
      <c r="N155" s="58">
        <f>IF($A155="","",IFERROR(INDEX(Baseline!$D$20:$D$49,MATCH($C155,Baseline!$A$20:$A$49,0)),""))</f>
        <v/>
      </c>
      <c r="O155" s="58">
        <f>IF($A155="","",IFERROR(INDEX(Baseline!$F$20:$F$49,MATCH($C155,Baseline!$A$20:$A$49,0)),0))</f>
        <v/>
      </c>
      <c r="P155" s="58">
        <f>IF($A155="","",IFERROR(INDEX(Baseline!$G$20:$G$49,MATCH($C155,Baseline!$A$20:$A$49,0)),"RED"))</f>
        <v/>
      </c>
      <c r="Q155" s="58">
        <f>IF($A155="","",$A155&amp;"|"&amp;$B155&amp;"|"&amp;$C155)</f>
        <v/>
      </c>
      <c r="R155" s="59" t="n"/>
      <c r="S155" s="60" t="n"/>
    </row>
    <row r="156" ht="15" customHeight="1" s="34">
      <c r="A156" s="54" t="n"/>
      <c r="B156" s="54" t="n"/>
      <c r="C156" s="54" t="n"/>
      <c r="D156" s="55">
        <f>IF($A156="","",IFERROR(INDEX(Baseline!$B$20:$B$49,MATCH($C156,Baseline!$A$20:$A$49,0)),"Line not in baseline"))</f>
        <v/>
      </c>
      <c r="E156" s="55">
        <f>IF($A156="","",IFERROR(INDEX(Baseline!$C$20:$C$49,MATCH($C156,Baseline!$A$20:$A$49,0)),""))</f>
        <v/>
      </c>
      <c r="F156" s="56">
        <f>IF($A156="","",IFERROR(INDEX(Baseline!$E$20:$E$49,MATCH($C156,Baseline!$A$20:$A$49,0)),""))</f>
        <v/>
      </c>
      <c r="G156" s="57" t="n"/>
      <c r="H156" s="54" t="n"/>
      <c r="I156" s="54" t="n"/>
      <c r="J156" s="39">
        <f>IF($A156="","",IF($E156="Informational","GREEN",IF($G156="",IF($E156="Mandatory","RED","YELLOW"),IF($N156="Exact",IF(UPPER(TRIM($G156&amp;""))=UPPER(TRIM($F156&amp;"")),"GREEN",$P156),IF(NOT(ISNUMBER($G156)),$P156,IF($N156="Min",IF($G156&gt;=$F156,"GREEN",IF($G156&gt;=$F156-$O156,"YELLOW",$P156)),IF($N156="Max",IF($G156&lt;=$F156,"GREEN",IF($G156&lt;=$F156+$O156,"YELLOW",$P156)),IF($N156="Range",IF(ABS($G156-$F156)&lt;=$O156,"GREEN",$P156),"CHECK RULE"))))))))</f>
        <v/>
      </c>
      <c r="K156" s="39">
        <f>IF($A156="","",IF($H156="Non-Compliant","RED",IF(AND(OR($H156="Alternative Offer",$H156="Partially Compliant"),$J156="GREEN"),"YELLOW",IF(AND($J156="GREEN",ISNUMBER($R156),$R156&lt;Baseline!$B$9),"YELLOW",$J156))))</f>
        <v/>
      </c>
      <c r="L156" s="39">
        <f>IF($A156="","",IF($K156="GREEN","GREEN",IF(COUNTIFS(Exceptions!$B$5:$B$104,$A156,Exceptions!$C$5:$C$104,$B156,Exceptions!$D$5:$D$104,$C156,Exceptions!$G$5:$G$104,"Accepted",Exceptions!$H$5:$H$104,"&lt;&gt;")&gt;0,"CLEARED",$K156)))</f>
        <v/>
      </c>
      <c r="M156" s="39">
        <f>IF($A156="","",IF($H156="","Declaration missing",IF($H156="Not Stated","Not stated in quotation",IF(AND(ISNUMBER($R156),$R156&lt;Baseline!$B$9),"Low AI confidence - verify",IF(AND($H156="Fully Compliant",$J156&lt;&gt;"GREEN"),"Declared Fully - evidence differs","")))))</f>
        <v/>
      </c>
      <c r="N156" s="58">
        <f>IF($A156="","",IFERROR(INDEX(Baseline!$D$20:$D$49,MATCH($C156,Baseline!$A$20:$A$49,0)),""))</f>
        <v/>
      </c>
      <c r="O156" s="58">
        <f>IF($A156="","",IFERROR(INDEX(Baseline!$F$20:$F$49,MATCH($C156,Baseline!$A$20:$A$49,0)),0))</f>
        <v/>
      </c>
      <c r="P156" s="58">
        <f>IF($A156="","",IFERROR(INDEX(Baseline!$G$20:$G$49,MATCH($C156,Baseline!$A$20:$A$49,0)),"RED"))</f>
        <v/>
      </c>
      <c r="Q156" s="58">
        <f>IF($A156="","",$A156&amp;"|"&amp;$B156&amp;"|"&amp;$C156)</f>
        <v/>
      </c>
      <c r="R156" s="59" t="n"/>
      <c r="S156" s="60" t="n"/>
    </row>
    <row r="157" ht="15" customHeight="1" s="34">
      <c r="A157" s="54" t="n"/>
      <c r="B157" s="54" t="n"/>
      <c r="C157" s="54" t="n"/>
      <c r="D157" s="55">
        <f>IF($A157="","",IFERROR(INDEX(Baseline!$B$20:$B$49,MATCH($C157,Baseline!$A$20:$A$49,0)),"Line not in baseline"))</f>
        <v/>
      </c>
      <c r="E157" s="55">
        <f>IF($A157="","",IFERROR(INDEX(Baseline!$C$20:$C$49,MATCH($C157,Baseline!$A$20:$A$49,0)),""))</f>
        <v/>
      </c>
      <c r="F157" s="56">
        <f>IF($A157="","",IFERROR(INDEX(Baseline!$E$20:$E$49,MATCH($C157,Baseline!$A$20:$A$49,0)),""))</f>
        <v/>
      </c>
      <c r="G157" s="57" t="n"/>
      <c r="H157" s="54" t="n"/>
      <c r="I157" s="54" t="n"/>
      <c r="J157" s="39">
        <f>IF($A157="","",IF($E157="Informational","GREEN",IF($G157="",IF($E157="Mandatory","RED","YELLOW"),IF($N157="Exact",IF(UPPER(TRIM($G157&amp;""))=UPPER(TRIM($F157&amp;"")),"GREEN",$P157),IF(NOT(ISNUMBER($G157)),$P157,IF($N157="Min",IF($G157&gt;=$F157,"GREEN",IF($G157&gt;=$F157-$O157,"YELLOW",$P157)),IF($N157="Max",IF($G157&lt;=$F157,"GREEN",IF($G157&lt;=$F157+$O157,"YELLOW",$P157)),IF($N157="Range",IF(ABS($G157-$F157)&lt;=$O157,"GREEN",$P157),"CHECK RULE"))))))))</f>
        <v/>
      </c>
      <c r="K157" s="39">
        <f>IF($A157="","",IF($H157="Non-Compliant","RED",IF(AND(OR($H157="Alternative Offer",$H157="Partially Compliant"),$J157="GREEN"),"YELLOW",IF(AND($J157="GREEN",ISNUMBER($R157),$R157&lt;Baseline!$B$9),"YELLOW",$J157))))</f>
        <v/>
      </c>
      <c r="L157" s="39">
        <f>IF($A157="","",IF($K157="GREEN","GREEN",IF(COUNTIFS(Exceptions!$B$5:$B$104,$A157,Exceptions!$C$5:$C$104,$B157,Exceptions!$D$5:$D$104,$C157,Exceptions!$G$5:$G$104,"Accepted",Exceptions!$H$5:$H$104,"&lt;&gt;")&gt;0,"CLEARED",$K157)))</f>
        <v/>
      </c>
      <c r="M157" s="39">
        <f>IF($A157="","",IF($H157="","Declaration missing",IF($H157="Not Stated","Not stated in quotation",IF(AND(ISNUMBER($R157),$R157&lt;Baseline!$B$9),"Low AI confidence - verify",IF(AND($H157="Fully Compliant",$J157&lt;&gt;"GREEN"),"Declared Fully - evidence differs","")))))</f>
        <v/>
      </c>
      <c r="N157" s="58">
        <f>IF($A157="","",IFERROR(INDEX(Baseline!$D$20:$D$49,MATCH($C157,Baseline!$A$20:$A$49,0)),""))</f>
        <v/>
      </c>
      <c r="O157" s="58">
        <f>IF($A157="","",IFERROR(INDEX(Baseline!$F$20:$F$49,MATCH($C157,Baseline!$A$20:$A$49,0)),0))</f>
        <v/>
      </c>
      <c r="P157" s="58">
        <f>IF($A157="","",IFERROR(INDEX(Baseline!$G$20:$G$49,MATCH($C157,Baseline!$A$20:$A$49,0)),"RED"))</f>
        <v/>
      </c>
      <c r="Q157" s="58">
        <f>IF($A157="","",$A157&amp;"|"&amp;$B157&amp;"|"&amp;$C157)</f>
        <v/>
      </c>
      <c r="R157" s="59" t="n"/>
      <c r="S157" s="60" t="n"/>
    </row>
    <row r="158" ht="15" customHeight="1" s="34">
      <c r="A158" s="54" t="n"/>
      <c r="B158" s="54" t="n"/>
      <c r="C158" s="54" t="n"/>
      <c r="D158" s="55">
        <f>IF($A158="","",IFERROR(INDEX(Baseline!$B$20:$B$49,MATCH($C158,Baseline!$A$20:$A$49,0)),"Line not in baseline"))</f>
        <v/>
      </c>
      <c r="E158" s="55">
        <f>IF($A158="","",IFERROR(INDEX(Baseline!$C$20:$C$49,MATCH($C158,Baseline!$A$20:$A$49,0)),""))</f>
        <v/>
      </c>
      <c r="F158" s="56">
        <f>IF($A158="","",IFERROR(INDEX(Baseline!$E$20:$E$49,MATCH($C158,Baseline!$A$20:$A$49,0)),""))</f>
        <v/>
      </c>
      <c r="G158" s="57" t="n"/>
      <c r="H158" s="54" t="n"/>
      <c r="I158" s="54" t="n"/>
      <c r="J158" s="39">
        <f>IF($A158="","",IF($E158="Informational","GREEN",IF($G158="",IF($E158="Mandatory","RED","YELLOW"),IF($N158="Exact",IF(UPPER(TRIM($G158&amp;""))=UPPER(TRIM($F158&amp;"")),"GREEN",$P158),IF(NOT(ISNUMBER($G158)),$P158,IF($N158="Min",IF($G158&gt;=$F158,"GREEN",IF($G158&gt;=$F158-$O158,"YELLOW",$P158)),IF($N158="Max",IF($G158&lt;=$F158,"GREEN",IF($G158&lt;=$F158+$O158,"YELLOW",$P158)),IF($N158="Range",IF(ABS($G158-$F158)&lt;=$O158,"GREEN",$P158),"CHECK RULE"))))))))</f>
        <v/>
      </c>
      <c r="K158" s="39">
        <f>IF($A158="","",IF($H158="Non-Compliant","RED",IF(AND(OR($H158="Alternative Offer",$H158="Partially Compliant"),$J158="GREEN"),"YELLOW",IF(AND($J158="GREEN",ISNUMBER($R158),$R158&lt;Baseline!$B$9),"YELLOW",$J158))))</f>
        <v/>
      </c>
      <c r="L158" s="39">
        <f>IF($A158="","",IF($K158="GREEN","GREEN",IF(COUNTIFS(Exceptions!$B$5:$B$104,$A158,Exceptions!$C$5:$C$104,$B158,Exceptions!$D$5:$D$104,$C158,Exceptions!$G$5:$G$104,"Accepted",Exceptions!$H$5:$H$104,"&lt;&gt;")&gt;0,"CLEARED",$K158)))</f>
        <v/>
      </c>
      <c r="M158" s="39">
        <f>IF($A158="","",IF($H158="","Declaration missing",IF($H158="Not Stated","Not stated in quotation",IF(AND(ISNUMBER($R158),$R158&lt;Baseline!$B$9),"Low AI confidence - verify",IF(AND($H158="Fully Compliant",$J158&lt;&gt;"GREEN"),"Declared Fully - evidence differs","")))))</f>
        <v/>
      </c>
      <c r="N158" s="58">
        <f>IF($A158="","",IFERROR(INDEX(Baseline!$D$20:$D$49,MATCH($C158,Baseline!$A$20:$A$49,0)),""))</f>
        <v/>
      </c>
      <c r="O158" s="58">
        <f>IF($A158="","",IFERROR(INDEX(Baseline!$F$20:$F$49,MATCH($C158,Baseline!$A$20:$A$49,0)),0))</f>
        <v/>
      </c>
      <c r="P158" s="58">
        <f>IF($A158="","",IFERROR(INDEX(Baseline!$G$20:$G$49,MATCH($C158,Baseline!$A$20:$A$49,0)),"RED"))</f>
        <v/>
      </c>
      <c r="Q158" s="58">
        <f>IF($A158="","",$A158&amp;"|"&amp;$B158&amp;"|"&amp;$C158)</f>
        <v/>
      </c>
      <c r="R158" s="59" t="n"/>
      <c r="S158" s="60" t="n"/>
    </row>
    <row r="159" ht="15" customHeight="1" s="34">
      <c r="A159" s="54" t="n"/>
      <c r="B159" s="54" t="n"/>
      <c r="C159" s="54" t="n"/>
      <c r="D159" s="55">
        <f>IF($A159="","",IFERROR(INDEX(Baseline!$B$20:$B$49,MATCH($C159,Baseline!$A$20:$A$49,0)),"Line not in baseline"))</f>
        <v/>
      </c>
      <c r="E159" s="55">
        <f>IF($A159="","",IFERROR(INDEX(Baseline!$C$20:$C$49,MATCH($C159,Baseline!$A$20:$A$49,0)),""))</f>
        <v/>
      </c>
      <c r="F159" s="56">
        <f>IF($A159="","",IFERROR(INDEX(Baseline!$E$20:$E$49,MATCH($C159,Baseline!$A$20:$A$49,0)),""))</f>
        <v/>
      </c>
      <c r="G159" s="57" t="n"/>
      <c r="H159" s="54" t="n"/>
      <c r="I159" s="54" t="n"/>
      <c r="J159" s="39">
        <f>IF($A159="","",IF($E159="Informational","GREEN",IF($G159="",IF($E159="Mandatory","RED","YELLOW"),IF($N159="Exact",IF(UPPER(TRIM($G159&amp;""))=UPPER(TRIM($F159&amp;"")),"GREEN",$P159),IF(NOT(ISNUMBER($G159)),$P159,IF($N159="Min",IF($G159&gt;=$F159,"GREEN",IF($G159&gt;=$F159-$O159,"YELLOW",$P159)),IF($N159="Max",IF($G159&lt;=$F159,"GREEN",IF($G159&lt;=$F159+$O159,"YELLOW",$P159)),IF($N159="Range",IF(ABS($G159-$F159)&lt;=$O159,"GREEN",$P159),"CHECK RULE"))))))))</f>
        <v/>
      </c>
      <c r="K159" s="39">
        <f>IF($A159="","",IF($H159="Non-Compliant","RED",IF(AND(OR($H159="Alternative Offer",$H159="Partially Compliant"),$J159="GREEN"),"YELLOW",IF(AND($J159="GREEN",ISNUMBER($R159),$R159&lt;Baseline!$B$9),"YELLOW",$J159))))</f>
        <v/>
      </c>
      <c r="L159" s="39">
        <f>IF($A159="","",IF($K159="GREEN","GREEN",IF(COUNTIFS(Exceptions!$B$5:$B$104,$A159,Exceptions!$C$5:$C$104,$B159,Exceptions!$D$5:$D$104,$C159,Exceptions!$G$5:$G$104,"Accepted",Exceptions!$H$5:$H$104,"&lt;&gt;")&gt;0,"CLEARED",$K159)))</f>
        <v/>
      </c>
      <c r="M159" s="39">
        <f>IF($A159="","",IF($H159="","Declaration missing",IF($H159="Not Stated","Not stated in quotation",IF(AND(ISNUMBER($R159),$R159&lt;Baseline!$B$9),"Low AI confidence - verify",IF(AND($H159="Fully Compliant",$J159&lt;&gt;"GREEN"),"Declared Fully - evidence differs","")))))</f>
        <v/>
      </c>
      <c r="N159" s="58">
        <f>IF($A159="","",IFERROR(INDEX(Baseline!$D$20:$D$49,MATCH($C159,Baseline!$A$20:$A$49,0)),""))</f>
        <v/>
      </c>
      <c r="O159" s="58">
        <f>IF($A159="","",IFERROR(INDEX(Baseline!$F$20:$F$49,MATCH($C159,Baseline!$A$20:$A$49,0)),0))</f>
        <v/>
      </c>
      <c r="P159" s="58">
        <f>IF($A159="","",IFERROR(INDEX(Baseline!$G$20:$G$49,MATCH($C159,Baseline!$A$20:$A$49,0)),"RED"))</f>
        <v/>
      </c>
      <c r="Q159" s="58">
        <f>IF($A159="","",$A159&amp;"|"&amp;$B159&amp;"|"&amp;$C159)</f>
        <v/>
      </c>
      <c r="R159" s="59" t="n"/>
      <c r="S159" s="60" t="n"/>
    </row>
    <row r="160" ht="15" customHeight="1" s="34">
      <c r="A160" s="54" t="n"/>
      <c r="B160" s="54" t="n"/>
      <c r="C160" s="54" t="n"/>
      <c r="D160" s="55">
        <f>IF($A160="","",IFERROR(INDEX(Baseline!$B$20:$B$49,MATCH($C160,Baseline!$A$20:$A$49,0)),"Line not in baseline"))</f>
        <v/>
      </c>
      <c r="E160" s="55">
        <f>IF($A160="","",IFERROR(INDEX(Baseline!$C$20:$C$49,MATCH($C160,Baseline!$A$20:$A$49,0)),""))</f>
        <v/>
      </c>
      <c r="F160" s="56">
        <f>IF($A160="","",IFERROR(INDEX(Baseline!$E$20:$E$49,MATCH($C160,Baseline!$A$20:$A$49,0)),""))</f>
        <v/>
      </c>
      <c r="G160" s="57" t="n"/>
      <c r="H160" s="54" t="n"/>
      <c r="I160" s="54" t="n"/>
      <c r="J160" s="39">
        <f>IF($A160="","",IF($E160="Informational","GREEN",IF($G160="",IF($E160="Mandatory","RED","YELLOW"),IF($N160="Exact",IF(UPPER(TRIM($G160&amp;""))=UPPER(TRIM($F160&amp;"")),"GREEN",$P160),IF(NOT(ISNUMBER($G160)),$P160,IF($N160="Min",IF($G160&gt;=$F160,"GREEN",IF($G160&gt;=$F160-$O160,"YELLOW",$P160)),IF($N160="Max",IF($G160&lt;=$F160,"GREEN",IF($G160&lt;=$F160+$O160,"YELLOW",$P160)),IF($N160="Range",IF(ABS($G160-$F160)&lt;=$O160,"GREEN",$P160),"CHECK RULE"))))))))</f>
        <v/>
      </c>
      <c r="K160" s="39">
        <f>IF($A160="","",IF($H160="Non-Compliant","RED",IF(AND(OR($H160="Alternative Offer",$H160="Partially Compliant"),$J160="GREEN"),"YELLOW",IF(AND($J160="GREEN",ISNUMBER($R160),$R160&lt;Baseline!$B$9),"YELLOW",$J160))))</f>
        <v/>
      </c>
      <c r="L160" s="39">
        <f>IF($A160="","",IF($K160="GREEN","GREEN",IF(COUNTIFS(Exceptions!$B$5:$B$104,$A160,Exceptions!$C$5:$C$104,$B160,Exceptions!$D$5:$D$104,$C160,Exceptions!$G$5:$G$104,"Accepted",Exceptions!$H$5:$H$104,"&lt;&gt;")&gt;0,"CLEARED",$K160)))</f>
        <v/>
      </c>
      <c r="M160" s="39">
        <f>IF($A160="","",IF($H160="","Declaration missing",IF($H160="Not Stated","Not stated in quotation",IF(AND(ISNUMBER($R160),$R160&lt;Baseline!$B$9),"Low AI confidence - verify",IF(AND($H160="Fully Compliant",$J160&lt;&gt;"GREEN"),"Declared Fully - evidence differs","")))))</f>
        <v/>
      </c>
      <c r="N160" s="58">
        <f>IF($A160="","",IFERROR(INDEX(Baseline!$D$20:$D$49,MATCH($C160,Baseline!$A$20:$A$49,0)),""))</f>
        <v/>
      </c>
      <c r="O160" s="58">
        <f>IF($A160="","",IFERROR(INDEX(Baseline!$F$20:$F$49,MATCH($C160,Baseline!$A$20:$A$49,0)),0))</f>
        <v/>
      </c>
      <c r="P160" s="58">
        <f>IF($A160="","",IFERROR(INDEX(Baseline!$G$20:$G$49,MATCH($C160,Baseline!$A$20:$A$49,0)),"RED"))</f>
        <v/>
      </c>
      <c r="Q160" s="58">
        <f>IF($A160="","",$A160&amp;"|"&amp;$B160&amp;"|"&amp;$C160)</f>
        <v/>
      </c>
      <c r="R160" s="59" t="n"/>
      <c r="S160" s="60" t="n"/>
    </row>
    <row r="161" ht="15" customHeight="1" s="34">
      <c r="A161" s="54" t="n"/>
      <c r="B161" s="54" t="n"/>
      <c r="C161" s="54" t="n"/>
      <c r="D161" s="55">
        <f>IF($A161="","",IFERROR(INDEX(Baseline!$B$20:$B$49,MATCH($C161,Baseline!$A$20:$A$49,0)),"Line not in baseline"))</f>
        <v/>
      </c>
      <c r="E161" s="55">
        <f>IF($A161="","",IFERROR(INDEX(Baseline!$C$20:$C$49,MATCH($C161,Baseline!$A$20:$A$49,0)),""))</f>
        <v/>
      </c>
      <c r="F161" s="56">
        <f>IF($A161="","",IFERROR(INDEX(Baseline!$E$20:$E$49,MATCH($C161,Baseline!$A$20:$A$49,0)),""))</f>
        <v/>
      </c>
      <c r="G161" s="57" t="n"/>
      <c r="H161" s="54" t="n"/>
      <c r="I161" s="54" t="n"/>
      <c r="J161" s="39">
        <f>IF($A161="","",IF($E161="Informational","GREEN",IF($G161="",IF($E161="Mandatory","RED","YELLOW"),IF($N161="Exact",IF(UPPER(TRIM($G161&amp;""))=UPPER(TRIM($F161&amp;"")),"GREEN",$P161),IF(NOT(ISNUMBER($G161)),$P161,IF($N161="Min",IF($G161&gt;=$F161,"GREEN",IF($G161&gt;=$F161-$O161,"YELLOW",$P161)),IF($N161="Max",IF($G161&lt;=$F161,"GREEN",IF($G161&lt;=$F161+$O161,"YELLOW",$P161)),IF($N161="Range",IF(ABS($G161-$F161)&lt;=$O161,"GREEN",$P161),"CHECK RULE"))))))))</f>
        <v/>
      </c>
      <c r="K161" s="39">
        <f>IF($A161="","",IF($H161="Non-Compliant","RED",IF(AND(OR($H161="Alternative Offer",$H161="Partially Compliant"),$J161="GREEN"),"YELLOW",IF(AND($J161="GREEN",ISNUMBER($R161),$R161&lt;Baseline!$B$9),"YELLOW",$J161))))</f>
        <v/>
      </c>
      <c r="L161" s="39">
        <f>IF($A161="","",IF($K161="GREEN","GREEN",IF(COUNTIFS(Exceptions!$B$5:$B$104,$A161,Exceptions!$C$5:$C$104,$B161,Exceptions!$D$5:$D$104,$C161,Exceptions!$G$5:$G$104,"Accepted",Exceptions!$H$5:$H$104,"&lt;&gt;")&gt;0,"CLEARED",$K161)))</f>
        <v/>
      </c>
      <c r="M161" s="39">
        <f>IF($A161="","",IF($H161="","Declaration missing",IF($H161="Not Stated","Not stated in quotation",IF(AND(ISNUMBER($R161),$R161&lt;Baseline!$B$9),"Low AI confidence - verify",IF(AND($H161="Fully Compliant",$J161&lt;&gt;"GREEN"),"Declared Fully - evidence differs","")))))</f>
        <v/>
      </c>
      <c r="N161" s="58">
        <f>IF($A161="","",IFERROR(INDEX(Baseline!$D$20:$D$49,MATCH($C161,Baseline!$A$20:$A$49,0)),""))</f>
        <v/>
      </c>
      <c r="O161" s="58">
        <f>IF($A161="","",IFERROR(INDEX(Baseline!$F$20:$F$49,MATCH($C161,Baseline!$A$20:$A$49,0)),0))</f>
        <v/>
      </c>
      <c r="P161" s="58">
        <f>IF($A161="","",IFERROR(INDEX(Baseline!$G$20:$G$49,MATCH($C161,Baseline!$A$20:$A$49,0)),"RED"))</f>
        <v/>
      </c>
      <c r="Q161" s="58">
        <f>IF($A161="","",$A161&amp;"|"&amp;$B161&amp;"|"&amp;$C161)</f>
        <v/>
      </c>
      <c r="R161" s="59" t="n"/>
      <c r="S161" s="60" t="n"/>
    </row>
    <row r="162" ht="15" customHeight="1" s="34">
      <c r="A162" s="54" t="n"/>
      <c r="B162" s="54" t="n"/>
      <c r="C162" s="54" t="n"/>
      <c r="D162" s="55">
        <f>IF($A162="","",IFERROR(INDEX(Baseline!$B$20:$B$49,MATCH($C162,Baseline!$A$20:$A$49,0)),"Line not in baseline"))</f>
        <v/>
      </c>
      <c r="E162" s="55">
        <f>IF($A162="","",IFERROR(INDEX(Baseline!$C$20:$C$49,MATCH($C162,Baseline!$A$20:$A$49,0)),""))</f>
        <v/>
      </c>
      <c r="F162" s="56">
        <f>IF($A162="","",IFERROR(INDEX(Baseline!$E$20:$E$49,MATCH($C162,Baseline!$A$20:$A$49,0)),""))</f>
        <v/>
      </c>
      <c r="G162" s="57" t="n"/>
      <c r="H162" s="54" t="n"/>
      <c r="I162" s="54" t="n"/>
      <c r="J162" s="39">
        <f>IF($A162="","",IF($E162="Informational","GREEN",IF($G162="",IF($E162="Mandatory","RED","YELLOW"),IF($N162="Exact",IF(UPPER(TRIM($G162&amp;""))=UPPER(TRIM($F162&amp;"")),"GREEN",$P162),IF(NOT(ISNUMBER($G162)),$P162,IF($N162="Min",IF($G162&gt;=$F162,"GREEN",IF($G162&gt;=$F162-$O162,"YELLOW",$P162)),IF($N162="Max",IF($G162&lt;=$F162,"GREEN",IF($G162&lt;=$F162+$O162,"YELLOW",$P162)),IF($N162="Range",IF(ABS($G162-$F162)&lt;=$O162,"GREEN",$P162),"CHECK RULE"))))))))</f>
        <v/>
      </c>
      <c r="K162" s="39">
        <f>IF($A162="","",IF($H162="Non-Compliant","RED",IF(AND(OR($H162="Alternative Offer",$H162="Partially Compliant"),$J162="GREEN"),"YELLOW",IF(AND($J162="GREEN",ISNUMBER($R162),$R162&lt;Baseline!$B$9),"YELLOW",$J162))))</f>
        <v/>
      </c>
      <c r="L162" s="39">
        <f>IF($A162="","",IF($K162="GREEN","GREEN",IF(COUNTIFS(Exceptions!$B$5:$B$104,$A162,Exceptions!$C$5:$C$104,$B162,Exceptions!$D$5:$D$104,$C162,Exceptions!$G$5:$G$104,"Accepted",Exceptions!$H$5:$H$104,"&lt;&gt;")&gt;0,"CLEARED",$K162)))</f>
        <v/>
      </c>
      <c r="M162" s="39">
        <f>IF($A162="","",IF($H162="","Declaration missing",IF($H162="Not Stated","Not stated in quotation",IF(AND(ISNUMBER($R162),$R162&lt;Baseline!$B$9),"Low AI confidence - verify",IF(AND($H162="Fully Compliant",$J162&lt;&gt;"GREEN"),"Declared Fully - evidence differs","")))))</f>
        <v/>
      </c>
      <c r="N162" s="58">
        <f>IF($A162="","",IFERROR(INDEX(Baseline!$D$20:$D$49,MATCH($C162,Baseline!$A$20:$A$49,0)),""))</f>
        <v/>
      </c>
      <c r="O162" s="58">
        <f>IF($A162="","",IFERROR(INDEX(Baseline!$F$20:$F$49,MATCH($C162,Baseline!$A$20:$A$49,0)),0))</f>
        <v/>
      </c>
      <c r="P162" s="58">
        <f>IF($A162="","",IFERROR(INDEX(Baseline!$G$20:$G$49,MATCH($C162,Baseline!$A$20:$A$49,0)),"RED"))</f>
        <v/>
      </c>
      <c r="Q162" s="58">
        <f>IF($A162="","",$A162&amp;"|"&amp;$B162&amp;"|"&amp;$C162)</f>
        <v/>
      </c>
      <c r="R162" s="59" t="n"/>
      <c r="S162" s="60" t="n"/>
    </row>
    <row r="163" ht="15" customHeight="1" s="34">
      <c r="A163" s="54" t="n"/>
      <c r="B163" s="54" t="n"/>
      <c r="C163" s="54" t="n"/>
      <c r="D163" s="55">
        <f>IF($A163="","",IFERROR(INDEX(Baseline!$B$20:$B$49,MATCH($C163,Baseline!$A$20:$A$49,0)),"Line not in baseline"))</f>
        <v/>
      </c>
      <c r="E163" s="55">
        <f>IF($A163="","",IFERROR(INDEX(Baseline!$C$20:$C$49,MATCH($C163,Baseline!$A$20:$A$49,0)),""))</f>
        <v/>
      </c>
      <c r="F163" s="56">
        <f>IF($A163="","",IFERROR(INDEX(Baseline!$E$20:$E$49,MATCH($C163,Baseline!$A$20:$A$49,0)),""))</f>
        <v/>
      </c>
      <c r="G163" s="57" t="n"/>
      <c r="H163" s="54" t="n"/>
      <c r="I163" s="54" t="n"/>
      <c r="J163" s="39">
        <f>IF($A163="","",IF($E163="Informational","GREEN",IF($G163="",IF($E163="Mandatory","RED","YELLOW"),IF($N163="Exact",IF(UPPER(TRIM($G163&amp;""))=UPPER(TRIM($F163&amp;"")),"GREEN",$P163),IF(NOT(ISNUMBER($G163)),$P163,IF($N163="Min",IF($G163&gt;=$F163,"GREEN",IF($G163&gt;=$F163-$O163,"YELLOW",$P163)),IF($N163="Max",IF($G163&lt;=$F163,"GREEN",IF($G163&lt;=$F163+$O163,"YELLOW",$P163)),IF($N163="Range",IF(ABS($G163-$F163)&lt;=$O163,"GREEN",$P163),"CHECK RULE"))))))))</f>
        <v/>
      </c>
      <c r="K163" s="39">
        <f>IF($A163="","",IF($H163="Non-Compliant","RED",IF(AND(OR($H163="Alternative Offer",$H163="Partially Compliant"),$J163="GREEN"),"YELLOW",IF(AND($J163="GREEN",ISNUMBER($R163),$R163&lt;Baseline!$B$9),"YELLOW",$J163))))</f>
        <v/>
      </c>
      <c r="L163" s="39">
        <f>IF($A163="","",IF($K163="GREEN","GREEN",IF(COUNTIFS(Exceptions!$B$5:$B$104,$A163,Exceptions!$C$5:$C$104,$B163,Exceptions!$D$5:$D$104,$C163,Exceptions!$G$5:$G$104,"Accepted",Exceptions!$H$5:$H$104,"&lt;&gt;")&gt;0,"CLEARED",$K163)))</f>
        <v/>
      </c>
      <c r="M163" s="39">
        <f>IF($A163="","",IF($H163="","Declaration missing",IF($H163="Not Stated","Not stated in quotation",IF(AND(ISNUMBER($R163),$R163&lt;Baseline!$B$9),"Low AI confidence - verify",IF(AND($H163="Fully Compliant",$J163&lt;&gt;"GREEN"),"Declared Fully - evidence differs","")))))</f>
        <v/>
      </c>
      <c r="N163" s="58">
        <f>IF($A163="","",IFERROR(INDEX(Baseline!$D$20:$D$49,MATCH($C163,Baseline!$A$20:$A$49,0)),""))</f>
        <v/>
      </c>
      <c r="O163" s="58">
        <f>IF($A163="","",IFERROR(INDEX(Baseline!$F$20:$F$49,MATCH($C163,Baseline!$A$20:$A$49,0)),0))</f>
        <v/>
      </c>
      <c r="P163" s="58">
        <f>IF($A163="","",IFERROR(INDEX(Baseline!$G$20:$G$49,MATCH($C163,Baseline!$A$20:$A$49,0)),"RED"))</f>
        <v/>
      </c>
      <c r="Q163" s="58">
        <f>IF($A163="","",$A163&amp;"|"&amp;$B163&amp;"|"&amp;$C163)</f>
        <v/>
      </c>
      <c r="R163" s="59" t="n"/>
      <c r="S163" s="60" t="n"/>
    </row>
    <row r="164" ht="15" customHeight="1" s="34">
      <c r="A164" s="54" t="n"/>
      <c r="B164" s="54" t="n"/>
      <c r="C164" s="54" t="n"/>
      <c r="D164" s="55">
        <f>IF($A164="","",IFERROR(INDEX(Baseline!$B$20:$B$49,MATCH($C164,Baseline!$A$20:$A$49,0)),"Line not in baseline"))</f>
        <v/>
      </c>
      <c r="E164" s="55">
        <f>IF($A164="","",IFERROR(INDEX(Baseline!$C$20:$C$49,MATCH($C164,Baseline!$A$20:$A$49,0)),""))</f>
        <v/>
      </c>
      <c r="F164" s="56">
        <f>IF($A164="","",IFERROR(INDEX(Baseline!$E$20:$E$49,MATCH($C164,Baseline!$A$20:$A$49,0)),""))</f>
        <v/>
      </c>
      <c r="G164" s="57" t="n"/>
      <c r="H164" s="54" t="n"/>
      <c r="I164" s="54" t="n"/>
      <c r="J164" s="39">
        <f>IF($A164="","",IF($E164="Informational","GREEN",IF($G164="",IF($E164="Mandatory","RED","YELLOW"),IF($N164="Exact",IF(UPPER(TRIM($G164&amp;""))=UPPER(TRIM($F164&amp;"")),"GREEN",$P164),IF(NOT(ISNUMBER($G164)),$P164,IF($N164="Min",IF($G164&gt;=$F164,"GREEN",IF($G164&gt;=$F164-$O164,"YELLOW",$P164)),IF($N164="Max",IF($G164&lt;=$F164,"GREEN",IF($G164&lt;=$F164+$O164,"YELLOW",$P164)),IF($N164="Range",IF(ABS($G164-$F164)&lt;=$O164,"GREEN",$P164),"CHECK RULE"))))))))</f>
        <v/>
      </c>
      <c r="K164" s="39">
        <f>IF($A164="","",IF($H164="Non-Compliant","RED",IF(AND(OR($H164="Alternative Offer",$H164="Partially Compliant"),$J164="GREEN"),"YELLOW",IF(AND($J164="GREEN",ISNUMBER($R164),$R164&lt;Baseline!$B$9),"YELLOW",$J164))))</f>
        <v/>
      </c>
      <c r="L164" s="39">
        <f>IF($A164="","",IF($K164="GREEN","GREEN",IF(COUNTIFS(Exceptions!$B$5:$B$104,$A164,Exceptions!$C$5:$C$104,$B164,Exceptions!$D$5:$D$104,$C164,Exceptions!$G$5:$G$104,"Accepted",Exceptions!$H$5:$H$104,"&lt;&gt;")&gt;0,"CLEARED",$K164)))</f>
        <v/>
      </c>
      <c r="M164" s="39">
        <f>IF($A164="","",IF($H164="","Declaration missing",IF($H164="Not Stated","Not stated in quotation",IF(AND(ISNUMBER($R164),$R164&lt;Baseline!$B$9),"Low AI confidence - verify",IF(AND($H164="Fully Compliant",$J164&lt;&gt;"GREEN"),"Declared Fully - evidence differs","")))))</f>
        <v/>
      </c>
      <c r="N164" s="58">
        <f>IF($A164="","",IFERROR(INDEX(Baseline!$D$20:$D$49,MATCH($C164,Baseline!$A$20:$A$49,0)),""))</f>
        <v/>
      </c>
      <c r="O164" s="58">
        <f>IF($A164="","",IFERROR(INDEX(Baseline!$F$20:$F$49,MATCH($C164,Baseline!$A$20:$A$49,0)),0))</f>
        <v/>
      </c>
      <c r="P164" s="58">
        <f>IF($A164="","",IFERROR(INDEX(Baseline!$G$20:$G$49,MATCH($C164,Baseline!$A$20:$A$49,0)),"RED"))</f>
        <v/>
      </c>
      <c r="Q164" s="58">
        <f>IF($A164="","",$A164&amp;"|"&amp;$B164&amp;"|"&amp;$C164)</f>
        <v/>
      </c>
      <c r="R164" s="59" t="n"/>
      <c r="S164" s="60" t="n"/>
    </row>
    <row r="165" ht="15" customHeight="1" s="34">
      <c r="A165" s="54" t="n"/>
      <c r="B165" s="54" t="n"/>
      <c r="C165" s="54" t="n"/>
      <c r="D165" s="55">
        <f>IF($A165="","",IFERROR(INDEX(Baseline!$B$20:$B$49,MATCH($C165,Baseline!$A$20:$A$49,0)),"Line not in baseline"))</f>
        <v/>
      </c>
      <c r="E165" s="55">
        <f>IF($A165="","",IFERROR(INDEX(Baseline!$C$20:$C$49,MATCH($C165,Baseline!$A$20:$A$49,0)),""))</f>
        <v/>
      </c>
      <c r="F165" s="56">
        <f>IF($A165="","",IFERROR(INDEX(Baseline!$E$20:$E$49,MATCH($C165,Baseline!$A$20:$A$49,0)),""))</f>
        <v/>
      </c>
      <c r="G165" s="57" t="n"/>
      <c r="H165" s="54" t="n"/>
      <c r="I165" s="54" t="n"/>
      <c r="J165" s="39">
        <f>IF($A165="","",IF($E165="Informational","GREEN",IF($G165="",IF($E165="Mandatory","RED","YELLOW"),IF($N165="Exact",IF(UPPER(TRIM($G165&amp;""))=UPPER(TRIM($F165&amp;"")),"GREEN",$P165),IF(NOT(ISNUMBER($G165)),$P165,IF($N165="Min",IF($G165&gt;=$F165,"GREEN",IF($G165&gt;=$F165-$O165,"YELLOW",$P165)),IF($N165="Max",IF($G165&lt;=$F165,"GREEN",IF($G165&lt;=$F165+$O165,"YELLOW",$P165)),IF($N165="Range",IF(ABS($G165-$F165)&lt;=$O165,"GREEN",$P165),"CHECK RULE"))))))))</f>
        <v/>
      </c>
      <c r="K165" s="39">
        <f>IF($A165="","",IF($H165="Non-Compliant","RED",IF(AND(OR($H165="Alternative Offer",$H165="Partially Compliant"),$J165="GREEN"),"YELLOW",IF(AND($J165="GREEN",ISNUMBER($R165),$R165&lt;Baseline!$B$9),"YELLOW",$J165))))</f>
        <v/>
      </c>
      <c r="L165" s="39">
        <f>IF($A165="","",IF($K165="GREEN","GREEN",IF(COUNTIFS(Exceptions!$B$5:$B$104,$A165,Exceptions!$C$5:$C$104,$B165,Exceptions!$D$5:$D$104,$C165,Exceptions!$G$5:$G$104,"Accepted",Exceptions!$H$5:$H$104,"&lt;&gt;")&gt;0,"CLEARED",$K165)))</f>
        <v/>
      </c>
      <c r="M165" s="39">
        <f>IF($A165="","",IF($H165="","Declaration missing",IF($H165="Not Stated","Not stated in quotation",IF(AND(ISNUMBER($R165),$R165&lt;Baseline!$B$9),"Low AI confidence - verify",IF(AND($H165="Fully Compliant",$J165&lt;&gt;"GREEN"),"Declared Fully - evidence differs","")))))</f>
        <v/>
      </c>
      <c r="N165" s="58">
        <f>IF($A165="","",IFERROR(INDEX(Baseline!$D$20:$D$49,MATCH($C165,Baseline!$A$20:$A$49,0)),""))</f>
        <v/>
      </c>
      <c r="O165" s="58">
        <f>IF($A165="","",IFERROR(INDEX(Baseline!$F$20:$F$49,MATCH($C165,Baseline!$A$20:$A$49,0)),0))</f>
        <v/>
      </c>
      <c r="P165" s="58">
        <f>IF($A165="","",IFERROR(INDEX(Baseline!$G$20:$G$49,MATCH($C165,Baseline!$A$20:$A$49,0)),"RED"))</f>
        <v/>
      </c>
      <c r="Q165" s="58">
        <f>IF($A165="","",$A165&amp;"|"&amp;$B165&amp;"|"&amp;$C165)</f>
        <v/>
      </c>
      <c r="R165" s="59" t="n"/>
      <c r="S165" s="60" t="n"/>
    </row>
    <row r="166" ht="15" customHeight="1" s="34">
      <c r="A166" s="54" t="n"/>
      <c r="B166" s="54" t="n"/>
      <c r="C166" s="54" t="n"/>
      <c r="D166" s="55">
        <f>IF($A166="","",IFERROR(INDEX(Baseline!$B$20:$B$49,MATCH($C166,Baseline!$A$20:$A$49,0)),"Line not in baseline"))</f>
        <v/>
      </c>
      <c r="E166" s="55">
        <f>IF($A166="","",IFERROR(INDEX(Baseline!$C$20:$C$49,MATCH($C166,Baseline!$A$20:$A$49,0)),""))</f>
        <v/>
      </c>
      <c r="F166" s="56">
        <f>IF($A166="","",IFERROR(INDEX(Baseline!$E$20:$E$49,MATCH($C166,Baseline!$A$20:$A$49,0)),""))</f>
        <v/>
      </c>
      <c r="G166" s="57" t="n"/>
      <c r="H166" s="54" t="n"/>
      <c r="I166" s="54" t="n"/>
      <c r="J166" s="39">
        <f>IF($A166="","",IF($E166="Informational","GREEN",IF($G166="",IF($E166="Mandatory","RED","YELLOW"),IF($N166="Exact",IF(UPPER(TRIM($G166&amp;""))=UPPER(TRIM($F166&amp;"")),"GREEN",$P166),IF(NOT(ISNUMBER($G166)),$P166,IF($N166="Min",IF($G166&gt;=$F166,"GREEN",IF($G166&gt;=$F166-$O166,"YELLOW",$P166)),IF($N166="Max",IF($G166&lt;=$F166,"GREEN",IF($G166&lt;=$F166+$O166,"YELLOW",$P166)),IF($N166="Range",IF(ABS($G166-$F166)&lt;=$O166,"GREEN",$P166),"CHECK RULE"))))))))</f>
        <v/>
      </c>
      <c r="K166" s="39">
        <f>IF($A166="","",IF($H166="Non-Compliant","RED",IF(AND(OR($H166="Alternative Offer",$H166="Partially Compliant"),$J166="GREEN"),"YELLOW",IF(AND($J166="GREEN",ISNUMBER($R166),$R166&lt;Baseline!$B$9),"YELLOW",$J166))))</f>
        <v/>
      </c>
      <c r="L166" s="39">
        <f>IF($A166="","",IF($K166="GREEN","GREEN",IF(COUNTIFS(Exceptions!$B$5:$B$104,$A166,Exceptions!$C$5:$C$104,$B166,Exceptions!$D$5:$D$104,$C166,Exceptions!$G$5:$G$104,"Accepted",Exceptions!$H$5:$H$104,"&lt;&gt;")&gt;0,"CLEARED",$K166)))</f>
        <v/>
      </c>
      <c r="M166" s="39">
        <f>IF($A166="","",IF($H166="","Declaration missing",IF($H166="Not Stated","Not stated in quotation",IF(AND(ISNUMBER($R166),$R166&lt;Baseline!$B$9),"Low AI confidence - verify",IF(AND($H166="Fully Compliant",$J166&lt;&gt;"GREEN"),"Declared Fully - evidence differs","")))))</f>
        <v/>
      </c>
      <c r="N166" s="58">
        <f>IF($A166="","",IFERROR(INDEX(Baseline!$D$20:$D$49,MATCH($C166,Baseline!$A$20:$A$49,0)),""))</f>
        <v/>
      </c>
      <c r="O166" s="58">
        <f>IF($A166="","",IFERROR(INDEX(Baseline!$F$20:$F$49,MATCH($C166,Baseline!$A$20:$A$49,0)),0))</f>
        <v/>
      </c>
      <c r="P166" s="58">
        <f>IF($A166="","",IFERROR(INDEX(Baseline!$G$20:$G$49,MATCH($C166,Baseline!$A$20:$A$49,0)),"RED"))</f>
        <v/>
      </c>
      <c r="Q166" s="58">
        <f>IF($A166="","",$A166&amp;"|"&amp;$B166&amp;"|"&amp;$C166)</f>
        <v/>
      </c>
      <c r="R166" s="59" t="n"/>
      <c r="S166" s="60" t="n"/>
    </row>
    <row r="167" ht="15" customHeight="1" s="34">
      <c r="A167" s="54" t="n"/>
      <c r="B167" s="54" t="n"/>
      <c r="C167" s="54" t="n"/>
      <c r="D167" s="55">
        <f>IF($A167="","",IFERROR(INDEX(Baseline!$B$20:$B$49,MATCH($C167,Baseline!$A$20:$A$49,0)),"Line not in baseline"))</f>
        <v/>
      </c>
      <c r="E167" s="55">
        <f>IF($A167="","",IFERROR(INDEX(Baseline!$C$20:$C$49,MATCH($C167,Baseline!$A$20:$A$49,0)),""))</f>
        <v/>
      </c>
      <c r="F167" s="56">
        <f>IF($A167="","",IFERROR(INDEX(Baseline!$E$20:$E$49,MATCH($C167,Baseline!$A$20:$A$49,0)),""))</f>
        <v/>
      </c>
      <c r="G167" s="57" t="n"/>
      <c r="H167" s="54" t="n"/>
      <c r="I167" s="54" t="n"/>
      <c r="J167" s="39">
        <f>IF($A167="","",IF($E167="Informational","GREEN",IF($G167="",IF($E167="Mandatory","RED","YELLOW"),IF($N167="Exact",IF(UPPER(TRIM($G167&amp;""))=UPPER(TRIM($F167&amp;"")),"GREEN",$P167),IF(NOT(ISNUMBER($G167)),$P167,IF($N167="Min",IF($G167&gt;=$F167,"GREEN",IF($G167&gt;=$F167-$O167,"YELLOW",$P167)),IF($N167="Max",IF($G167&lt;=$F167,"GREEN",IF($G167&lt;=$F167+$O167,"YELLOW",$P167)),IF($N167="Range",IF(ABS($G167-$F167)&lt;=$O167,"GREEN",$P167),"CHECK RULE"))))))))</f>
        <v/>
      </c>
      <c r="K167" s="39">
        <f>IF($A167="","",IF($H167="Non-Compliant","RED",IF(AND(OR($H167="Alternative Offer",$H167="Partially Compliant"),$J167="GREEN"),"YELLOW",IF(AND($J167="GREEN",ISNUMBER($R167),$R167&lt;Baseline!$B$9),"YELLOW",$J167))))</f>
        <v/>
      </c>
      <c r="L167" s="39">
        <f>IF($A167="","",IF($K167="GREEN","GREEN",IF(COUNTIFS(Exceptions!$B$5:$B$104,$A167,Exceptions!$C$5:$C$104,$B167,Exceptions!$D$5:$D$104,$C167,Exceptions!$G$5:$G$104,"Accepted",Exceptions!$H$5:$H$104,"&lt;&gt;")&gt;0,"CLEARED",$K167)))</f>
        <v/>
      </c>
      <c r="M167" s="39">
        <f>IF($A167="","",IF($H167="","Declaration missing",IF($H167="Not Stated","Not stated in quotation",IF(AND(ISNUMBER($R167),$R167&lt;Baseline!$B$9),"Low AI confidence - verify",IF(AND($H167="Fully Compliant",$J167&lt;&gt;"GREEN"),"Declared Fully - evidence differs","")))))</f>
        <v/>
      </c>
      <c r="N167" s="58">
        <f>IF($A167="","",IFERROR(INDEX(Baseline!$D$20:$D$49,MATCH($C167,Baseline!$A$20:$A$49,0)),""))</f>
        <v/>
      </c>
      <c r="O167" s="58">
        <f>IF($A167="","",IFERROR(INDEX(Baseline!$F$20:$F$49,MATCH($C167,Baseline!$A$20:$A$49,0)),0))</f>
        <v/>
      </c>
      <c r="P167" s="58">
        <f>IF($A167="","",IFERROR(INDEX(Baseline!$G$20:$G$49,MATCH($C167,Baseline!$A$20:$A$49,0)),"RED"))</f>
        <v/>
      </c>
      <c r="Q167" s="58">
        <f>IF($A167="","",$A167&amp;"|"&amp;$B167&amp;"|"&amp;$C167)</f>
        <v/>
      </c>
      <c r="R167" s="59" t="n"/>
      <c r="S167" s="60" t="n"/>
    </row>
    <row r="168" ht="15" customHeight="1" s="34">
      <c r="A168" s="54" t="n"/>
      <c r="B168" s="54" t="n"/>
      <c r="C168" s="54" t="n"/>
      <c r="D168" s="55">
        <f>IF($A168="","",IFERROR(INDEX(Baseline!$B$20:$B$49,MATCH($C168,Baseline!$A$20:$A$49,0)),"Line not in baseline"))</f>
        <v/>
      </c>
      <c r="E168" s="55">
        <f>IF($A168="","",IFERROR(INDEX(Baseline!$C$20:$C$49,MATCH($C168,Baseline!$A$20:$A$49,0)),""))</f>
        <v/>
      </c>
      <c r="F168" s="56">
        <f>IF($A168="","",IFERROR(INDEX(Baseline!$E$20:$E$49,MATCH($C168,Baseline!$A$20:$A$49,0)),""))</f>
        <v/>
      </c>
      <c r="G168" s="57" t="n"/>
      <c r="H168" s="54" t="n"/>
      <c r="I168" s="54" t="n"/>
      <c r="J168" s="39">
        <f>IF($A168="","",IF($E168="Informational","GREEN",IF($G168="",IF($E168="Mandatory","RED","YELLOW"),IF($N168="Exact",IF(UPPER(TRIM($G168&amp;""))=UPPER(TRIM($F168&amp;"")),"GREEN",$P168),IF(NOT(ISNUMBER($G168)),$P168,IF($N168="Min",IF($G168&gt;=$F168,"GREEN",IF($G168&gt;=$F168-$O168,"YELLOW",$P168)),IF($N168="Max",IF($G168&lt;=$F168,"GREEN",IF($G168&lt;=$F168+$O168,"YELLOW",$P168)),IF($N168="Range",IF(ABS($G168-$F168)&lt;=$O168,"GREEN",$P168),"CHECK RULE"))))))))</f>
        <v/>
      </c>
      <c r="K168" s="39">
        <f>IF($A168="","",IF($H168="Non-Compliant","RED",IF(AND(OR($H168="Alternative Offer",$H168="Partially Compliant"),$J168="GREEN"),"YELLOW",IF(AND($J168="GREEN",ISNUMBER($R168),$R168&lt;Baseline!$B$9),"YELLOW",$J168))))</f>
        <v/>
      </c>
      <c r="L168" s="39">
        <f>IF($A168="","",IF($K168="GREEN","GREEN",IF(COUNTIFS(Exceptions!$B$5:$B$104,$A168,Exceptions!$C$5:$C$104,$B168,Exceptions!$D$5:$D$104,$C168,Exceptions!$G$5:$G$104,"Accepted",Exceptions!$H$5:$H$104,"&lt;&gt;")&gt;0,"CLEARED",$K168)))</f>
        <v/>
      </c>
      <c r="M168" s="39">
        <f>IF($A168="","",IF($H168="","Declaration missing",IF($H168="Not Stated","Not stated in quotation",IF(AND(ISNUMBER($R168),$R168&lt;Baseline!$B$9),"Low AI confidence - verify",IF(AND($H168="Fully Compliant",$J168&lt;&gt;"GREEN"),"Declared Fully - evidence differs","")))))</f>
        <v/>
      </c>
      <c r="N168" s="58">
        <f>IF($A168="","",IFERROR(INDEX(Baseline!$D$20:$D$49,MATCH($C168,Baseline!$A$20:$A$49,0)),""))</f>
        <v/>
      </c>
      <c r="O168" s="58">
        <f>IF($A168="","",IFERROR(INDEX(Baseline!$F$20:$F$49,MATCH($C168,Baseline!$A$20:$A$49,0)),0))</f>
        <v/>
      </c>
      <c r="P168" s="58">
        <f>IF($A168="","",IFERROR(INDEX(Baseline!$G$20:$G$49,MATCH($C168,Baseline!$A$20:$A$49,0)),"RED"))</f>
        <v/>
      </c>
      <c r="Q168" s="58">
        <f>IF($A168="","",$A168&amp;"|"&amp;$B168&amp;"|"&amp;$C168)</f>
        <v/>
      </c>
      <c r="R168" s="59" t="n"/>
      <c r="S168" s="60" t="n"/>
    </row>
    <row r="169" ht="15" customHeight="1" s="34">
      <c r="A169" s="54" t="n"/>
      <c r="B169" s="54" t="n"/>
      <c r="C169" s="54" t="n"/>
      <c r="D169" s="55">
        <f>IF($A169="","",IFERROR(INDEX(Baseline!$B$20:$B$49,MATCH($C169,Baseline!$A$20:$A$49,0)),"Line not in baseline"))</f>
        <v/>
      </c>
      <c r="E169" s="55">
        <f>IF($A169="","",IFERROR(INDEX(Baseline!$C$20:$C$49,MATCH($C169,Baseline!$A$20:$A$49,0)),""))</f>
        <v/>
      </c>
      <c r="F169" s="56">
        <f>IF($A169="","",IFERROR(INDEX(Baseline!$E$20:$E$49,MATCH($C169,Baseline!$A$20:$A$49,0)),""))</f>
        <v/>
      </c>
      <c r="G169" s="57" t="n"/>
      <c r="H169" s="54" t="n"/>
      <c r="I169" s="54" t="n"/>
      <c r="J169" s="39">
        <f>IF($A169="","",IF($E169="Informational","GREEN",IF($G169="",IF($E169="Mandatory","RED","YELLOW"),IF($N169="Exact",IF(UPPER(TRIM($G169&amp;""))=UPPER(TRIM($F169&amp;"")),"GREEN",$P169),IF(NOT(ISNUMBER($G169)),$P169,IF($N169="Min",IF($G169&gt;=$F169,"GREEN",IF($G169&gt;=$F169-$O169,"YELLOW",$P169)),IF($N169="Max",IF($G169&lt;=$F169,"GREEN",IF($G169&lt;=$F169+$O169,"YELLOW",$P169)),IF($N169="Range",IF(ABS($G169-$F169)&lt;=$O169,"GREEN",$P169),"CHECK RULE"))))))))</f>
        <v/>
      </c>
      <c r="K169" s="39">
        <f>IF($A169="","",IF($H169="Non-Compliant","RED",IF(AND(OR($H169="Alternative Offer",$H169="Partially Compliant"),$J169="GREEN"),"YELLOW",IF(AND($J169="GREEN",ISNUMBER($R169),$R169&lt;Baseline!$B$9),"YELLOW",$J169))))</f>
        <v/>
      </c>
      <c r="L169" s="39">
        <f>IF($A169="","",IF($K169="GREEN","GREEN",IF(COUNTIFS(Exceptions!$B$5:$B$104,$A169,Exceptions!$C$5:$C$104,$B169,Exceptions!$D$5:$D$104,$C169,Exceptions!$G$5:$G$104,"Accepted",Exceptions!$H$5:$H$104,"&lt;&gt;")&gt;0,"CLEARED",$K169)))</f>
        <v/>
      </c>
      <c r="M169" s="39">
        <f>IF($A169="","",IF($H169="","Declaration missing",IF($H169="Not Stated","Not stated in quotation",IF(AND(ISNUMBER($R169),$R169&lt;Baseline!$B$9),"Low AI confidence - verify",IF(AND($H169="Fully Compliant",$J169&lt;&gt;"GREEN"),"Declared Fully - evidence differs","")))))</f>
        <v/>
      </c>
      <c r="N169" s="58">
        <f>IF($A169="","",IFERROR(INDEX(Baseline!$D$20:$D$49,MATCH($C169,Baseline!$A$20:$A$49,0)),""))</f>
        <v/>
      </c>
      <c r="O169" s="58">
        <f>IF($A169="","",IFERROR(INDEX(Baseline!$F$20:$F$49,MATCH($C169,Baseline!$A$20:$A$49,0)),0))</f>
        <v/>
      </c>
      <c r="P169" s="58">
        <f>IF($A169="","",IFERROR(INDEX(Baseline!$G$20:$G$49,MATCH($C169,Baseline!$A$20:$A$49,0)),"RED"))</f>
        <v/>
      </c>
      <c r="Q169" s="58">
        <f>IF($A169="","",$A169&amp;"|"&amp;$B169&amp;"|"&amp;$C169)</f>
        <v/>
      </c>
      <c r="R169" s="59" t="n"/>
      <c r="S169" s="60" t="n"/>
    </row>
    <row r="170" ht="15" customHeight="1" s="34">
      <c r="A170" s="54" t="n"/>
      <c r="B170" s="54" t="n"/>
      <c r="C170" s="54" t="n"/>
      <c r="D170" s="55">
        <f>IF($A170="","",IFERROR(INDEX(Baseline!$B$20:$B$49,MATCH($C170,Baseline!$A$20:$A$49,0)),"Line not in baseline"))</f>
        <v/>
      </c>
      <c r="E170" s="55">
        <f>IF($A170="","",IFERROR(INDEX(Baseline!$C$20:$C$49,MATCH($C170,Baseline!$A$20:$A$49,0)),""))</f>
        <v/>
      </c>
      <c r="F170" s="56">
        <f>IF($A170="","",IFERROR(INDEX(Baseline!$E$20:$E$49,MATCH($C170,Baseline!$A$20:$A$49,0)),""))</f>
        <v/>
      </c>
      <c r="G170" s="57" t="n"/>
      <c r="H170" s="54" t="n"/>
      <c r="I170" s="54" t="n"/>
      <c r="J170" s="39">
        <f>IF($A170="","",IF($E170="Informational","GREEN",IF($G170="",IF($E170="Mandatory","RED","YELLOW"),IF($N170="Exact",IF(UPPER(TRIM($G170&amp;""))=UPPER(TRIM($F170&amp;"")),"GREEN",$P170),IF(NOT(ISNUMBER($G170)),$P170,IF($N170="Min",IF($G170&gt;=$F170,"GREEN",IF($G170&gt;=$F170-$O170,"YELLOW",$P170)),IF($N170="Max",IF($G170&lt;=$F170,"GREEN",IF($G170&lt;=$F170+$O170,"YELLOW",$P170)),IF($N170="Range",IF(ABS($G170-$F170)&lt;=$O170,"GREEN",$P170),"CHECK RULE"))))))))</f>
        <v/>
      </c>
      <c r="K170" s="39">
        <f>IF($A170="","",IF($H170="Non-Compliant","RED",IF(AND(OR($H170="Alternative Offer",$H170="Partially Compliant"),$J170="GREEN"),"YELLOW",IF(AND($J170="GREEN",ISNUMBER($R170),$R170&lt;Baseline!$B$9),"YELLOW",$J170))))</f>
        <v/>
      </c>
      <c r="L170" s="39">
        <f>IF($A170="","",IF($K170="GREEN","GREEN",IF(COUNTIFS(Exceptions!$B$5:$B$104,$A170,Exceptions!$C$5:$C$104,$B170,Exceptions!$D$5:$D$104,$C170,Exceptions!$G$5:$G$104,"Accepted",Exceptions!$H$5:$H$104,"&lt;&gt;")&gt;0,"CLEARED",$K170)))</f>
        <v/>
      </c>
      <c r="M170" s="39">
        <f>IF($A170="","",IF($H170="","Declaration missing",IF($H170="Not Stated","Not stated in quotation",IF(AND(ISNUMBER($R170),$R170&lt;Baseline!$B$9),"Low AI confidence - verify",IF(AND($H170="Fully Compliant",$J170&lt;&gt;"GREEN"),"Declared Fully - evidence differs","")))))</f>
        <v/>
      </c>
      <c r="N170" s="58">
        <f>IF($A170="","",IFERROR(INDEX(Baseline!$D$20:$D$49,MATCH($C170,Baseline!$A$20:$A$49,0)),""))</f>
        <v/>
      </c>
      <c r="O170" s="58">
        <f>IF($A170="","",IFERROR(INDEX(Baseline!$F$20:$F$49,MATCH($C170,Baseline!$A$20:$A$49,0)),0))</f>
        <v/>
      </c>
      <c r="P170" s="58">
        <f>IF($A170="","",IFERROR(INDEX(Baseline!$G$20:$G$49,MATCH($C170,Baseline!$A$20:$A$49,0)),"RED"))</f>
        <v/>
      </c>
      <c r="Q170" s="58">
        <f>IF($A170="","",$A170&amp;"|"&amp;$B170&amp;"|"&amp;$C170)</f>
        <v/>
      </c>
      <c r="R170" s="59" t="n"/>
      <c r="S170" s="60" t="n"/>
    </row>
    <row r="171" ht="15" customHeight="1" s="34">
      <c r="A171" s="54" t="n"/>
      <c r="B171" s="54" t="n"/>
      <c r="C171" s="54" t="n"/>
      <c r="D171" s="55">
        <f>IF($A171="","",IFERROR(INDEX(Baseline!$B$20:$B$49,MATCH($C171,Baseline!$A$20:$A$49,0)),"Line not in baseline"))</f>
        <v/>
      </c>
      <c r="E171" s="55">
        <f>IF($A171="","",IFERROR(INDEX(Baseline!$C$20:$C$49,MATCH($C171,Baseline!$A$20:$A$49,0)),""))</f>
        <v/>
      </c>
      <c r="F171" s="56">
        <f>IF($A171="","",IFERROR(INDEX(Baseline!$E$20:$E$49,MATCH($C171,Baseline!$A$20:$A$49,0)),""))</f>
        <v/>
      </c>
      <c r="G171" s="57" t="n"/>
      <c r="H171" s="54" t="n"/>
      <c r="I171" s="54" t="n"/>
      <c r="J171" s="39">
        <f>IF($A171="","",IF($E171="Informational","GREEN",IF($G171="",IF($E171="Mandatory","RED","YELLOW"),IF($N171="Exact",IF(UPPER(TRIM($G171&amp;""))=UPPER(TRIM($F171&amp;"")),"GREEN",$P171),IF(NOT(ISNUMBER($G171)),$P171,IF($N171="Min",IF($G171&gt;=$F171,"GREEN",IF($G171&gt;=$F171-$O171,"YELLOW",$P171)),IF($N171="Max",IF($G171&lt;=$F171,"GREEN",IF($G171&lt;=$F171+$O171,"YELLOW",$P171)),IF($N171="Range",IF(ABS($G171-$F171)&lt;=$O171,"GREEN",$P171),"CHECK RULE"))))))))</f>
        <v/>
      </c>
      <c r="K171" s="39">
        <f>IF($A171="","",IF($H171="Non-Compliant","RED",IF(AND(OR($H171="Alternative Offer",$H171="Partially Compliant"),$J171="GREEN"),"YELLOW",IF(AND($J171="GREEN",ISNUMBER($R171),$R171&lt;Baseline!$B$9),"YELLOW",$J171))))</f>
        <v/>
      </c>
      <c r="L171" s="39">
        <f>IF($A171="","",IF($K171="GREEN","GREEN",IF(COUNTIFS(Exceptions!$B$5:$B$104,$A171,Exceptions!$C$5:$C$104,$B171,Exceptions!$D$5:$D$104,$C171,Exceptions!$G$5:$G$104,"Accepted",Exceptions!$H$5:$H$104,"&lt;&gt;")&gt;0,"CLEARED",$K171)))</f>
        <v/>
      </c>
      <c r="M171" s="39">
        <f>IF($A171="","",IF($H171="","Declaration missing",IF($H171="Not Stated","Not stated in quotation",IF(AND(ISNUMBER($R171),$R171&lt;Baseline!$B$9),"Low AI confidence - verify",IF(AND($H171="Fully Compliant",$J171&lt;&gt;"GREEN"),"Declared Fully - evidence differs","")))))</f>
        <v/>
      </c>
      <c r="N171" s="58">
        <f>IF($A171="","",IFERROR(INDEX(Baseline!$D$20:$D$49,MATCH($C171,Baseline!$A$20:$A$49,0)),""))</f>
        <v/>
      </c>
      <c r="O171" s="58">
        <f>IF($A171="","",IFERROR(INDEX(Baseline!$F$20:$F$49,MATCH($C171,Baseline!$A$20:$A$49,0)),0))</f>
        <v/>
      </c>
      <c r="P171" s="58">
        <f>IF($A171="","",IFERROR(INDEX(Baseline!$G$20:$G$49,MATCH($C171,Baseline!$A$20:$A$49,0)),"RED"))</f>
        <v/>
      </c>
      <c r="Q171" s="58">
        <f>IF($A171="","",$A171&amp;"|"&amp;$B171&amp;"|"&amp;$C171)</f>
        <v/>
      </c>
      <c r="R171" s="59" t="n"/>
      <c r="S171" s="60" t="n"/>
    </row>
    <row r="172" ht="15" customHeight="1" s="34">
      <c r="A172" s="54" t="n"/>
      <c r="B172" s="54" t="n"/>
      <c r="C172" s="54" t="n"/>
      <c r="D172" s="55">
        <f>IF($A172="","",IFERROR(INDEX(Baseline!$B$20:$B$49,MATCH($C172,Baseline!$A$20:$A$49,0)),"Line not in baseline"))</f>
        <v/>
      </c>
      <c r="E172" s="55">
        <f>IF($A172="","",IFERROR(INDEX(Baseline!$C$20:$C$49,MATCH($C172,Baseline!$A$20:$A$49,0)),""))</f>
        <v/>
      </c>
      <c r="F172" s="56">
        <f>IF($A172="","",IFERROR(INDEX(Baseline!$E$20:$E$49,MATCH($C172,Baseline!$A$20:$A$49,0)),""))</f>
        <v/>
      </c>
      <c r="G172" s="57" t="n"/>
      <c r="H172" s="54" t="n"/>
      <c r="I172" s="54" t="n"/>
      <c r="J172" s="39">
        <f>IF($A172="","",IF($E172="Informational","GREEN",IF($G172="",IF($E172="Mandatory","RED","YELLOW"),IF($N172="Exact",IF(UPPER(TRIM($G172&amp;""))=UPPER(TRIM($F172&amp;"")),"GREEN",$P172),IF(NOT(ISNUMBER($G172)),$P172,IF($N172="Min",IF($G172&gt;=$F172,"GREEN",IF($G172&gt;=$F172-$O172,"YELLOW",$P172)),IF($N172="Max",IF($G172&lt;=$F172,"GREEN",IF($G172&lt;=$F172+$O172,"YELLOW",$P172)),IF($N172="Range",IF(ABS($G172-$F172)&lt;=$O172,"GREEN",$P172),"CHECK RULE"))))))))</f>
        <v/>
      </c>
      <c r="K172" s="39">
        <f>IF($A172="","",IF($H172="Non-Compliant","RED",IF(AND(OR($H172="Alternative Offer",$H172="Partially Compliant"),$J172="GREEN"),"YELLOW",IF(AND($J172="GREEN",ISNUMBER($R172),$R172&lt;Baseline!$B$9),"YELLOW",$J172))))</f>
        <v/>
      </c>
      <c r="L172" s="39">
        <f>IF($A172="","",IF($K172="GREEN","GREEN",IF(COUNTIFS(Exceptions!$B$5:$B$104,$A172,Exceptions!$C$5:$C$104,$B172,Exceptions!$D$5:$D$104,$C172,Exceptions!$G$5:$G$104,"Accepted",Exceptions!$H$5:$H$104,"&lt;&gt;")&gt;0,"CLEARED",$K172)))</f>
        <v/>
      </c>
      <c r="M172" s="39">
        <f>IF($A172="","",IF($H172="","Declaration missing",IF($H172="Not Stated","Not stated in quotation",IF(AND(ISNUMBER($R172),$R172&lt;Baseline!$B$9),"Low AI confidence - verify",IF(AND($H172="Fully Compliant",$J172&lt;&gt;"GREEN"),"Declared Fully - evidence differs","")))))</f>
        <v/>
      </c>
      <c r="N172" s="58">
        <f>IF($A172="","",IFERROR(INDEX(Baseline!$D$20:$D$49,MATCH($C172,Baseline!$A$20:$A$49,0)),""))</f>
        <v/>
      </c>
      <c r="O172" s="58">
        <f>IF($A172="","",IFERROR(INDEX(Baseline!$F$20:$F$49,MATCH($C172,Baseline!$A$20:$A$49,0)),0))</f>
        <v/>
      </c>
      <c r="P172" s="58">
        <f>IF($A172="","",IFERROR(INDEX(Baseline!$G$20:$G$49,MATCH($C172,Baseline!$A$20:$A$49,0)),"RED"))</f>
        <v/>
      </c>
      <c r="Q172" s="58">
        <f>IF($A172="","",$A172&amp;"|"&amp;$B172&amp;"|"&amp;$C172)</f>
        <v/>
      </c>
      <c r="R172" s="59" t="n"/>
      <c r="S172" s="60" t="n"/>
    </row>
    <row r="173" ht="15" customHeight="1" s="34">
      <c r="A173" s="54" t="n"/>
      <c r="B173" s="54" t="n"/>
      <c r="C173" s="54" t="n"/>
      <c r="D173" s="55">
        <f>IF($A173="","",IFERROR(INDEX(Baseline!$B$20:$B$49,MATCH($C173,Baseline!$A$20:$A$49,0)),"Line not in baseline"))</f>
        <v/>
      </c>
      <c r="E173" s="55">
        <f>IF($A173="","",IFERROR(INDEX(Baseline!$C$20:$C$49,MATCH($C173,Baseline!$A$20:$A$49,0)),""))</f>
        <v/>
      </c>
      <c r="F173" s="56">
        <f>IF($A173="","",IFERROR(INDEX(Baseline!$E$20:$E$49,MATCH($C173,Baseline!$A$20:$A$49,0)),""))</f>
        <v/>
      </c>
      <c r="G173" s="57" t="n"/>
      <c r="H173" s="54" t="n"/>
      <c r="I173" s="54" t="n"/>
      <c r="J173" s="39">
        <f>IF($A173="","",IF($E173="Informational","GREEN",IF($G173="",IF($E173="Mandatory","RED","YELLOW"),IF($N173="Exact",IF(UPPER(TRIM($G173&amp;""))=UPPER(TRIM($F173&amp;"")),"GREEN",$P173),IF(NOT(ISNUMBER($G173)),$P173,IF($N173="Min",IF($G173&gt;=$F173,"GREEN",IF($G173&gt;=$F173-$O173,"YELLOW",$P173)),IF($N173="Max",IF($G173&lt;=$F173,"GREEN",IF($G173&lt;=$F173+$O173,"YELLOW",$P173)),IF($N173="Range",IF(ABS($G173-$F173)&lt;=$O173,"GREEN",$P173),"CHECK RULE"))))))))</f>
        <v/>
      </c>
      <c r="K173" s="39">
        <f>IF($A173="","",IF($H173="Non-Compliant","RED",IF(AND(OR($H173="Alternative Offer",$H173="Partially Compliant"),$J173="GREEN"),"YELLOW",IF(AND($J173="GREEN",ISNUMBER($R173),$R173&lt;Baseline!$B$9),"YELLOW",$J173))))</f>
        <v/>
      </c>
      <c r="L173" s="39">
        <f>IF($A173="","",IF($K173="GREEN","GREEN",IF(COUNTIFS(Exceptions!$B$5:$B$104,$A173,Exceptions!$C$5:$C$104,$B173,Exceptions!$D$5:$D$104,$C173,Exceptions!$G$5:$G$104,"Accepted",Exceptions!$H$5:$H$104,"&lt;&gt;")&gt;0,"CLEARED",$K173)))</f>
        <v/>
      </c>
      <c r="M173" s="39">
        <f>IF($A173="","",IF($H173="","Declaration missing",IF($H173="Not Stated","Not stated in quotation",IF(AND(ISNUMBER($R173),$R173&lt;Baseline!$B$9),"Low AI confidence - verify",IF(AND($H173="Fully Compliant",$J173&lt;&gt;"GREEN"),"Declared Fully - evidence differs","")))))</f>
        <v/>
      </c>
      <c r="N173" s="58">
        <f>IF($A173="","",IFERROR(INDEX(Baseline!$D$20:$D$49,MATCH($C173,Baseline!$A$20:$A$49,0)),""))</f>
        <v/>
      </c>
      <c r="O173" s="58">
        <f>IF($A173="","",IFERROR(INDEX(Baseline!$F$20:$F$49,MATCH($C173,Baseline!$A$20:$A$49,0)),0))</f>
        <v/>
      </c>
      <c r="P173" s="58">
        <f>IF($A173="","",IFERROR(INDEX(Baseline!$G$20:$G$49,MATCH($C173,Baseline!$A$20:$A$49,0)),"RED"))</f>
        <v/>
      </c>
      <c r="Q173" s="58">
        <f>IF($A173="","",$A173&amp;"|"&amp;$B173&amp;"|"&amp;$C173)</f>
        <v/>
      </c>
      <c r="R173" s="59" t="n"/>
      <c r="S173" s="60" t="n"/>
    </row>
    <row r="174" ht="15" customHeight="1" s="34">
      <c r="A174" s="54" t="n"/>
      <c r="B174" s="54" t="n"/>
      <c r="C174" s="54" t="n"/>
      <c r="D174" s="55">
        <f>IF($A174="","",IFERROR(INDEX(Baseline!$B$20:$B$49,MATCH($C174,Baseline!$A$20:$A$49,0)),"Line not in baseline"))</f>
        <v/>
      </c>
      <c r="E174" s="55">
        <f>IF($A174="","",IFERROR(INDEX(Baseline!$C$20:$C$49,MATCH($C174,Baseline!$A$20:$A$49,0)),""))</f>
        <v/>
      </c>
      <c r="F174" s="56">
        <f>IF($A174="","",IFERROR(INDEX(Baseline!$E$20:$E$49,MATCH($C174,Baseline!$A$20:$A$49,0)),""))</f>
        <v/>
      </c>
      <c r="G174" s="57" t="n"/>
      <c r="H174" s="54" t="n"/>
      <c r="I174" s="54" t="n"/>
      <c r="J174" s="39">
        <f>IF($A174="","",IF($E174="Informational","GREEN",IF($G174="",IF($E174="Mandatory","RED","YELLOW"),IF($N174="Exact",IF(UPPER(TRIM($G174&amp;""))=UPPER(TRIM($F174&amp;"")),"GREEN",$P174),IF(NOT(ISNUMBER($G174)),$P174,IF($N174="Min",IF($G174&gt;=$F174,"GREEN",IF($G174&gt;=$F174-$O174,"YELLOW",$P174)),IF($N174="Max",IF($G174&lt;=$F174,"GREEN",IF($G174&lt;=$F174+$O174,"YELLOW",$P174)),IF($N174="Range",IF(ABS($G174-$F174)&lt;=$O174,"GREEN",$P174),"CHECK RULE"))))))))</f>
        <v/>
      </c>
      <c r="K174" s="39">
        <f>IF($A174="","",IF($H174="Non-Compliant","RED",IF(AND(OR($H174="Alternative Offer",$H174="Partially Compliant"),$J174="GREEN"),"YELLOW",IF(AND($J174="GREEN",ISNUMBER($R174),$R174&lt;Baseline!$B$9),"YELLOW",$J174))))</f>
        <v/>
      </c>
      <c r="L174" s="39">
        <f>IF($A174="","",IF($K174="GREEN","GREEN",IF(COUNTIFS(Exceptions!$B$5:$B$104,$A174,Exceptions!$C$5:$C$104,$B174,Exceptions!$D$5:$D$104,$C174,Exceptions!$G$5:$G$104,"Accepted",Exceptions!$H$5:$H$104,"&lt;&gt;")&gt;0,"CLEARED",$K174)))</f>
        <v/>
      </c>
      <c r="M174" s="39">
        <f>IF($A174="","",IF($H174="","Declaration missing",IF($H174="Not Stated","Not stated in quotation",IF(AND(ISNUMBER($R174),$R174&lt;Baseline!$B$9),"Low AI confidence - verify",IF(AND($H174="Fully Compliant",$J174&lt;&gt;"GREEN"),"Declared Fully - evidence differs","")))))</f>
        <v/>
      </c>
      <c r="N174" s="58">
        <f>IF($A174="","",IFERROR(INDEX(Baseline!$D$20:$D$49,MATCH($C174,Baseline!$A$20:$A$49,0)),""))</f>
        <v/>
      </c>
      <c r="O174" s="58">
        <f>IF($A174="","",IFERROR(INDEX(Baseline!$F$20:$F$49,MATCH($C174,Baseline!$A$20:$A$49,0)),0))</f>
        <v/>
      </c>
      <c r="P174" s="58">
        <f>IF($A174="","",IFERROR(INDEX(Baseline!$G$20:$G$49,MATCH($C174,Baseline!$A$20:$A$49,0)),"RED"))</f>
        <v/>
      </c>
      <c r="Q174" s="58">
        <f>IF($A174="","",$A174&amp;"|"&amp;$B174&amp;"|"&amp;$C174)</f>
        <v/>
      </c>
      <c r="R174" s="59" t="n"/>
      <c r="S174" s="60" t="n"/>
    </row>
    <row r="175" ht="15" customHeight="1" s="34">
      <c r="A175" s="54" t="n"/>
      <c r="B175" s="54" t="n"/>
      <c r="C175" s="54" t="n"/>
      <c r="D175" s="55">
        <f>IF($A175="","",IFERROR(INDEX(Baseline!$B$20:$B$49,MATCH($C175,Baseline!$A$20:$A$49,0)),"Line not in baseline"))</f>
        <v/>
      </c>
      <c r="E175" s="55">
        <f>IF($A175="","",IFERROR(INDEX(Baseline!$C$20:$C$49,MATCH($C175,Baseline!$A$20:$A$49,0)),""))</f>
        <v/>
      </c>
      <c r="F175" s="56">
        <f>IF($A175="","",IFERROR(INDEX(Baseline!$E$20:$E$49,MATCH($C175,Baseline!$A$20:$A$49,0)),""))</f>
        <v/>
      </c>
      <c r="G175" s="57" t="n"/>
      <c r="H175" s="54" t="n"/>
      <c r="I175" s="54" t="n"/>
      <c r="J175" s="39">
        <f>IF($A175="","",IF($E175="Informational","GREEN",IF($G175="",IF($E175="Mandatory","RED","YELLOW"),IF($N175="Exact",IF(UPPER(TRIM($G175&amp;""))=UPPER(TRIM($F175&amp;"")),"GREEN",$P175),IF(NOT(ISNUMBER($G175)),$P175,IF($N175="Min",IF($G175&gt;=$F175,"GREEN",IF($G175&gt;=$F175-$O175,"YELLOW",$P175)),IF($N175="Max",IF($G175&lt;=$F175,"GREEN",IF($G175&lt;=$F175+$O175,"YELLOW",$P175)),IF($N175="Range",IF(ABS($G175-$F175)&lt;=$O175,"GREEN",$P175),"CHECK RULE"))))))))</f>
        <v/>
      </c>
      <c r="K175" s="39">
        <f>IF($A175="","",IF($H175="Non-Compliant","RED",IF(AND(OR($H175="Alternative Offer",$H175="Partially Compliant"),$J175="GREEN"),"YELLOW",IF(AND($J175="GREEN",ISNUMBER($R175),$R175&lt;Baseline!$B$9),"YELLOW",$J175))))</f>
        <v/>
      </c>
      <c r="L175" s="39">
        <f>IF($A175="","",IF($K175="GREEN","GREEN",IF(COUNTIFS(Exceptions!$B$5:$B$104,$A175,Exceptions!$C$5:$C$104,$B175,Exceptions!$D$5:$D$104,$C175,Exceptions!$G$5:$G$104,"Accepted",Exceptions!$H$5:$H$104,"&lt;&gt;")&gt;0,"CLEARED",$K175)))</f>
        <v/>
      </c>
      <c r="M175" s="39">
        <f>IF($A175="","",IF($H175="","Declaration missing",IF($H175="Not Stated","Not stated in quotation",IF(AND(ISNUMBER($R175),$R175&lt;Baseline!$B$9),"Low AI confidence - verify",IF(AND($H175="Fully Compliant",$J175&lt;&gt;"GREEN"),"Declared Fully - evidence differs","")))))</f>
        <v/>
      </c>
      <c r="N175" s="58">
        <f>IF($A175="","",IFERROR(INDEX(Baseline!$D$20:$D$49,MATCH($C175,Baseline!$A$20:$A$49,0)),""))</f>
        <v/>
      </c>
      <c r="O175" s="58">
        <f>IF($A175="","",IFERROR(INDEX(Baseline!$F$20:$F$49,MATCH($C175,Baseline!$A$20:$A$49,0)),0))</f>
        <v/>
      </c>
      <c r="P175" s="58">
        <f>IF($A175="","",IFERROR(INDEX(Baseline!$G$20:$G$49,MATCH($C175,Baseline!$A$20:$A$49,0)),"RED"))</f>
        <v/>
      </c>
      <c r="Q175" s="58">
        <f>IF($A175="","",$A175&amp;"|"&amp;$B175&amp;"|"&amp;$C175)</f>
        <v/>
      </c>
      <c r="R175" s="59" t="n"/>
      <c r="S175" s="60" t="n"/>
    </row>
    <row r="176" ht="15" customHeight="1" s="34">
      <c r="A176" s="54" t="n"/>
      <c r="B176" s="54" t="n"/>
      <c r="C176" s="54" t="n"/>
      <c r="D176" s="55">
        <f>IF($A176="","",IFERROR(INDEX(Baseline!$B$20:$B$49,MATCH($C176,Baseline!$A$20:$A$49,0)),"Line not in baseline"))</f>
        <v/>
      </c>
      <c r="E176" s="55">
        <f>IF($A176="","",IFERROR(INDEX(Baseline!$C$20:$C$49,MATCH($C176,Baseline!$A$20:$A$49,0)),""))</f>
        <v/>
      </c>
      <c r="F176" s="56">
        <f>IF($A176="","",IFERROR(INDEX(Baseline!$E$20:$E$49,MATCH($C176,Baseline!$A$20:$A$49,0)),""))</f>
        <v/>
      </c>
      <c r="G176" s="57" t="n"/>
      <c r="H176" s="54" t="n"/>
      <c r="I176" s="54" t="n"/>
      <c r="J176" s="39">
        <f>IF($A176="","",IF($E176="Informational","GREEN",IF($G176="",IF($E176="Mandatory","RED","YELLOW"),IF($N176="Exact",IF(UPPER(TRIM($G176&amp;""))=UPPER(TRIM($F176&amp;"")),"GREEN",$P176),IF(NOT(ISNUMBER($G176)),$P176,IF($N176="Min",IF($G176&gt;=$F176,"GREEN",IF($G176&gt;=$F176-$O176,"YELLOW",$P176)),IF($N176="Max",IF($G176&lt;=$F176,"GREEN",IF($G176&lt;=$F176+$O176,"YELLOW",$P176)),IF($N176="Range",IF(ABS($G176-$F176)&lt;=$O176,"GREEN",$P176),"CHECK RULE"))))))))</f>
        <v/>
      </c>
      <c r="K176" s="39">
        <f>IF($A176="","",IF($H176="Non-Compliant","RED",IF(AND(OR($H176="Alternative Offer",$H176="Partially Compliant"),$J176="GREEN"),"YELLOW",IF(AND($J176="GREEN",ISNUMBER($R176),$R176&lt;Baseline!$B$9),"YELLOW",$J176))))</f>
        <v/>
      </c>
      <c r="L176" s="39">
        <f>IF($A176="","",IF($K176="GREEN","GREEN",IF(COUNTIFS(Exceptions!$B$5:$B$104,$A176,Exceptions!$C$5:$C$104,$B176,Exceptions!$D$5:$D$104,$C176,Exceptions!$G$5:$G$104,"Accepted",Exceptions!$H$5:$H$104,"&lt;&gt;")&gt;0,"CLEARED",$K176)))</f>
        <v/>
      </c>
      <c r="M176" s="39">
        <f>IF($A176="","",IF($H176="","Declaration missing",IF($H176="Not Stated","Not stated in quotation",IF(AND(ISNUMBER($R176),$R176&lt;Baseline!$B$9),"Low AI confidence - verify",IF(AND($H176="Fully Compliant",$J176&lt;&gt;"GREEN"),"Declared Fully - evidence differs","")))))</f>
        <v/>
      </c>
      <c r="N176" s="58">
        <f>IF($A176="","",IFERROR(INDEX(Baseline!$D$20:$D$49,MATCH($C176,Baseline!$A$20:$A$49,0)),""))</f>
        <v/>
      </c>
      <c r="O176" s="58">
        <f>IF($A176="","",IFERROR(INDEX(Baseline!$F$20:$F$49,MATCH($C176,Baseline!$A$20:$A$49,0)),0))</f>
        <v/>
      </c>
      <c r="P176" s="58">
        <f>IF($A176="","",IFERROR(INDEX(Baseline!$G$20:$G$49,MATCH($C176,Baseline!$A$20:$A$49,0)),"RED"))</f>
        <v/>
      </c>
      <c r="Q176" s="58">
        <f>IF($A176="","",$A176&amp;"|"&amp;$B176&amp;"|"&amp;$C176)</f>
        <v/>
      </c>
      <c r="R176" s="59" t="n"/>
      <c r="S176" s="60" t="n"/>
    </row>
    <row r="177" ht="15" customHeight="1" s="34">
      <c r="A177" s="54" t="n"/>
      <c r="B177" s="54" t="n"/>
      <c r="C177" s="54" t="n"/>
      <c r="D177" s="55">
        <f>IF($A177="","",IFERROR(INDEX(Baseline!$B$20:$B$49,MATCH($C177,Baseline!$A$20:$A$49,0)),"Line not in baseline"))</f>
        <v/>
      </c>
      <c r="E177" s="55">
        <f>IF($A177="","",IFERROR(INDEX(Baseline!$C$20:$C$49,MATCH($C177,Baseline!$A$20:$A$49,0)),""))</f>
        <v/>
      </c>
      <c r="F177" s="56">
        <f>IF($A177="","",IFERROR(INDEX(Baseline!$E$20:$E$49,MATCH($C177,Baseline!$A$20:$A$49,0)),""))</f>
        <v/>
      </c>
      <c r="G177" s="57" t="n"/>
      <c r="H177" s="54" t="n"/>
      <c r="I177" s="54" t="n"/>
      <c r="J177" s="39">
        <f>IF($A177="","",IF($E177="Informational","GREEN",IF($G177="",IF($E177="Mandatory","RED","YELLOW"),IF($N177="Exact",IF(UPPER(TRIM($G177&amp;""))=UPPER(TRIM($F177&amp;"")),"GREEN",$P177),IF(NOT(ISNUMBER($G177)),$P177,IF($N177="Min",IF($G177&gt;=$F177,"GREEN",IF($G177&gt;=$F177-$O177,"YELLOW",$P177)),IF($N177="Max",IF($G177&lt;=$F177,"GREEN",IF($G177&lt;=$F177+$O177,"YELLOW",$P177)),IF($N177="Range",IF(ABS($G177-$F177)&lt;=$O177,"GREEN",$P177),"CHECK RULE"))))))))</f>
        <v/>
      </c>
      <c r="K177" s="39">
        <f>IF($A177="","",IF($H177="Non-Compliant","RED",IF(AND(OR($H177="Alternative Offer",$H177="Partially Compliant"),$J177="GREEN"),"YELLOW",IF(AND($J177="GREEN",ISNUMBER($R177),$R177&lt;Baseline!$B$9),"YELLOW",$J177))))</f>
        <v/>
      </c>
      <c r="L177" s="39">
        <f>IF($A177="","",IF($K177="GREEN","GREEN",IF(COUNTIFS(Exceptions!$B$5:$B$104,$A177,Exceptions!$C$5:$C$104,$B177,Exceptions!$D$5:$D$104,$C177,Exceptions!$G$5:$G$104,"Accepted",Exceptions!$H$5:$H$104,"&lt;&gt;")&gt;0,"CLEARED",$K177)))</f>
        <v/>
      </c>
      <c r="M177" s="39">
        <f>IF($A177="","",IF($H177="","Declaration missing",IF($H177="Not Stated","Not stated in quotation",IF(AND(ISNUMBER($R177),$R177&lt;Baseline!$B$9),"Low AI confidence - verify",IF(AND($H177="Fully Compliant",$J177&lt;&gt;"GREEN"),"Declared Fully - evidence differs","")))))</f>
        <v/>
      </c>
      <c r="N177" s="58">
        <f>IF($A177="","",IFERROR(INDEX(Baseline!$D$20:$D$49,MATCH($C177,Baseline!$A$20:$A$49,0)),""))</f>
        <v/>
      </c>
      <c r="O177" s="58">
        <f>IF($A177="","",IFERROR(INDEX(Baseline!$F$20:$F$49,MATCH($C177,Baseline!$A$20:$A$49,0)),0))</f>
        <v/>
      </c>
      <c r="P177" s="58">
        <f>IF($A177="","",IFERROR(INDEX(Baseline!$G$20:$G$49,MATCH($C177,Baseline!$A$20:$A$49,0)),"RED"))</f>
        <v/>
      </c>
      <c r="Q177" s="58">
        <f>IF($A177="","",$A177&amp;"|"&amp;$B177&amp;"|"&amp;$C177)</f>
        <v/>
      </c>
      <c r="R177" s="59" t="n"/>
      <c r="S177" s="60" t="n"/>
    </row>
    <row r="178" ht="15" customHeight="1" s="34">
      <c r="A178" s="54" t="n"/>
      <c r="B178" s="54" t="n"/>
      <c r="C178" s="54" t="n"/>
      <c r="D178" s="55">
        <f>IF($A178="","",IFERROR(INDEX(Baseline!$B$20:$B$49,MATCH($C178,Baseline!$A$20:$A$49,0)),"Line not in baseline"))</f>
        <v/>
      </c>
      <c r="E178" s="55">
        <f>IF($A178="","",IFERROR(INDEX(Baseline!$C$20:$C$49,MATCH($C178,Baseline!$A$20:$A$49,0)),""))</f>
        <v/>
      </c>
      <c r="F178" s="56">
        <f>IF($A178="","",IFERROR(INDEX(Baseline!$E$20:$E$49,MATCH($C178,Baseline!$A$20:$A$49,0)),""))</f>
        <v/>
      </c>
      <c r="G178" s="57" t="n"/>
      <c r="H178" s="54" t="n"/>
      <c r="I178" s="54" t="n"/>
      <c r="J178" s="39">
        <f>IF($A178="","",IF($E178="Informational","GREEN",IF($G178="",IF($E178="Mandatory","RED","YELLOW"),IF($N178="Exact",IF(UPPER(TRIM($G178&amp;""))=UPPER(TRIM($F178&amp;"")),"GREEN",$P178),IF(NOT(ISNUMBER($G178)),$P178,IF($N178="Min",IF($G178&gt;=$F178,"GREEN",IF($G178&gt;=$F178-$O178,"YELLOW",$P178)),IF($N178="Max",IF($G178&lt;=$F178,"GREEN",IF($G178&lt;=$F178+$O178,"YELLOW",$P178)),IF($N178="Range",IF(ABS($G178-$F178)&lt;=$O178,"GREEN",$P178),"CHECK RULE"))))))))</f>
        <v/>
      </c>
      <c r="K178" s="39">
        <f>IF($A178="","",IF($H178="Non-Compliant","RED",IF(AND(OR($H178="Alternative Offer",$H178="Partially Compliant"),$J178="GREEN"),"YELLOW",IF(AND($J178="GREEN",ISNUMBER($R178),$R178&lt;Baseline!$B$9),"YELLOW",$J178))))</f>
        <v/>
      </c>
      <c r="L178" s="39">
        <f>IF($A178="","",IF($K178="GREEN","GREEN",IF(COUNTIFS(Exceptions!$B$5:$B$104,$A178,Exceptions!$C$5:$C$104,$B178,Exceptions!$D$5:$D$104,$C178,Exceptions!$G$5:$G$104,"Accepted",Exceptions!$H$5:$H$104,"&lt;&gt;")&gt;0,"CLEARED",$K178)))</f>
        <v/>
      </c>
      <c r="M178" s="39">
        <f>IF($A178="","",IF($H178="","Declaration missing",IF($H178="Not Stated","Not stated in quotation",IF(AND(ISNUMBER($R178),$R178&lt;Baseline!$B$9),"Low AI confidence - verify",IF(AND($H178="Fully Compliant",$J178&lt;&gt;"GREEN"),"Declared Fully - evidence differs","")))))</f>
        <v/>
      </c>
      <c r="N178" s="58">
        <f>IF($A178="","",IFERROR(INDEX(Baseline!$D$20:$D$49,MATCH($C178,Baseline!$A$20:$A$49,0)),""))</f>
        <v/>
      </c>
      <c r="O178" s="58">
        <f>IF($A178="","",IFERROR(INDEX(Baseline!$F$20:$F$49,MATCH($C178,Baseline!$A$20:$A$49,0)),0))</f>
        <v/>
      </c>
      <c r="P178" s="58">
        <f>IF($A178="","",IFERROR(INDEX(Baseline!$G$20:$G$49,MATCH($C178,Baseline!$A$20:$A$49,0)),"RED"))</f>
        <v/>
      </c>
      <c r="Q178" s="58">
        <f>IF($A178="","",$A178&amp;"|"&amp;$B178&amp;"|"&amp;$C178)</f>
        <v/>
      </c>
      <c r="R178" s="59" t="n"/>
      <c r="S178" s="60" t="n"/>
    </row>
    <row r="179" ht="15" customHeight="1" s="34">
      <c r="A179" s="54" t="n"/>
      <c r="B179" s="54" t="n"/>
      <c r="C179" s="54" t="n"/>
      <c r="D179" s="55">
        <f>IF($A179="","",IFERROR(INDEX(Baseline!$B$20:$B$49,MATCH($C179,Baseline!$A$20:$A$49,0)),"Line not in baseline"))</f>
        <v/>
      </c>
      <c r="E179" s="55">
        <f>IF($A179="","",IFERROR(INDEX(Baseline!$C$20:$C$49,MATCH($C179,Baseline!$A$20:$A$49,0)),""))</f>
        <v/>
      </c>
      <c r="F179" s="56">
        <f>IF($A179="","",IFERROR(INDEX(Baseline!$E$20:$E$49,MATCH($C179,Baseline!$A$20:$A$49,0)),""))</f>
        <v/>
      </c>
      <c r="G179" s="57" t="n"/>
      <c r="H179" s="54" t="n"/>
      <c r="I179" s="54" t="n"/>
      <c r="J179" s="39">
        <f>IF($A179="","",IF($E179="Informational","GREEN",IF($G179="",IF($E179="Mandatory","RED","YELLOW"),IF($N179="Exact",IF(UPPER(TRIM($G179&amp;""))=UPPER(TRIM($F179&amp;"")),"GREEN",$P179),IF(NOT(ISNUMBER($G179)),$P179,IF($N179="Min",IF($G179&gt;=$F179,"GREEN",IF($G179&gt;=$F179-$O179,"YELLOW",$P179)),IF($N179="Max",IF($G179&lt;=$F179,"GREEN",IF($G179&lt;=$F179+$O179,"YELLOW",$P179)),IF($N179="Range",IF(ABS($G179-$F179)&lt;=$O179,"GREEN",$P179),"CHECK RULE"))))))))</f>
        <v/>
      </c>
      <c r="K179" s="39">
        <f>IF($A179="","",IF($H179="Non-Compliant","RED",IF(AND(OR($H179="Alternative Offer",$H179="Partially Compliant"),$J179="GREEN"),"YELLOW",IF(AND($J179="GREEN",ISNUMBER($R179),$R179&lt;Baseline!$B$9),"YELLOW",$J179))))</f>
        <v/>
      </c>
      <c r="L179" s="39">
        <f>IF($A179="","",IF($K179="GREEN","GREEN",IF(COUNTIFS(Exceptions!$B$5:$B$104,$A179,Exceptions!$C$5:$C$104,$B179,Exceptions!$D$5:$D$104,$C179,Exceptions!$G$5:$G$104,"Accepted",Exceptions!$H$5:$H$104,"&lt;&gt;")&gt;0,"CLEARED",$K179)))</f>
        <v/>
      </c>
      <c r="M179" s="39">
        <f>IF($A179="","",IF($H179="","Declaration missing",IF($H179="Not Stated","Not stated in quotation",IF(AND(ISNUMBER($R179),$R179&lt;Baseline!$B$9),"Low AI confidence - verify",IF(AND($H179="Fully Compliant",$J179&lt;&gt;"GREEN"),"Declared Fully - evidence differs","")))))</f>
        <v/>
      </c>
      <c r="N179" s="58">
        <f>IF($A179="","",IFERROR(INDEX(Baseline!$D$20:$D$49,MATCH($C179,Baseline!$A$20:$A$49,0)),""))</f>
        <v/>
      </c>
      <c r="O179" s="58">
        <f>IF($A179="","",IFERROR(INDEX(Baseline!$F$20:$F$49,MATCH($C179,Baseline!$A$20:$A$49,0)),0))</f>
        <v/>
      </c>
      <c r="P179" s="58">
        <f>IF($A179="","",IFERROR(INDEX(Baseline!$G$20:$G$49,MATCH($C179,Baseline!$A$20:$A$49,0)),"RED"))</f>
        <v/>
      </c>
      <c r="Q179" s="58">
        <f>IF($A179="","",$A179&amp;"|"&amp;$B179&amp;"|"&amp;$C179)</f>
        <v/>
      </c>
      <c r="R179" s="59" t="n"/>
      <c r="S179" s="60" t="n"/>
    </row>
    <row r="180" ht="15" customHeight="1" s="34">
      <c r="A180" s="54" t="n"/>
      <c r="B180" s="54" t="n"/>
      <c r="C180" s="54" t="n"/>
      <c r="D180" s="55">
        <f>IF($A180="","",IFERROR(INDEX(Baseline!$B$20:$B$49,MATCH($C180,Baseline!$A$20:$A$49,0)),"Line not in baseline"))</f>
        <v/>
      </c>
      <c r="E180" s="55">
        <f>IF($A180="","",IFERROR(INDEX(Baseline!$C$20:$C$49,MATCH($C180,Baseline!$A$20:$A$49,0)),""))</f>
        <v/>
      </c>
      <c r="F180" s="56">
        <f>IF($A180="","",IFERROR(INDEX(Baseline!$E$20:$E$49,MATCH($C180,Baseline!$A$20:$A$49,0)),""))</f>
        <v/>
      </c>
      <c r="G180" s="57" t="n"/>
      <c r="H180" s="54" t="n"/>
      <c r="I180" s="54" t="n"/>
      <c r="J180" s="39">
        <f>IF($A180="","",IF($E180="Informational","GREEN",IF($G180="",IF($E180="Mandatory","RED","YELLOW"),IF($N180="Exact",IF(UPPER(TRIM($G180&amp;""))=UPPER(TRIM($F180&amp;"")),"GREEN",$P180),IF(NOT(ISNUMBER($G180)),$P180,IF($N180="Min",IF($G180&gt;=$F180,"GREEN",IF($G180&gt;=$F180-$O180,"YELLOW",$P180)),IF($N180="Max",IF($G180&lt;=$F180,"GREEN",IF($G180&lt;=$F180+$O180,"YELLOW",$P180)),IF($N180="Range",IF(ABS($G180-$F180)&lt;=$O180,"GREEN",$P180),"CHECK RULE"))))))))</f>
        <v/>
      </c>
      <c r="K180" s="39">
        <f>IF($A180="","",IF($H180="Non-Compliant","RED",IF(AND(OR($H180="Alternative Offer",$H180="Partially Compliant"),$J180="GREEN"),"YELLOW",IF(AND($J180="GREEN",ISNUMBER($R180),$R180&lt;Baseline!$B$9),"YELLOW",$J180))))</f>
        <v/>
      </c>
      <c r="L180" s="39">
        <f>IF($A180="","",IF($K180="GREEN","GREEN",IF(COUNTIFS(Exceptions!$B$5:$B$104,$A180,Exceptions!$C$5:$C$104,$B180,Exceptions!$D$5:$D$104,$C180,Exceptions!$G$5:$G$104,"Accepted",Exceptions!$H$5:$H$104,"&lt;&gt;")&gt;0,"CLEARED",$K180)))</f>
        <v/>
      </c>
      <c r="M180" s="39">
        <f>IF($A180="","",IF($H180="","Declaration missing",IF($H180="Not Stated","Not stated in quotation",IF(AND(ISNUMBER($R180),$R180&lt;Baseline!$B$9),"Low AI confidence - verify",IF(AND($H180="Fully Compliant",$J180&lt;&gt;"GREEN"),"Declared Fully - evidence differs","")))))</f>
        <v/>
      </c>
      <c r="N180" s="58">
        <f>IF($A180="","",IFERROR(INDEX(Baseline!$D$20:$D$49,MATCH($C180,Baseline!$A$20:$A$49,0)),""))</f>
        <v/>
      </c>
      <c r="O180" s="58">
        <f>IF($A180="","",IFERROR(INDEX(Baseline!$F$20:$F$49,MATCH($C180,Baseline!$A$20:$A$49,0)),0))</f>
        <v/>
      </c>
      <c r="P180" s="58">
        <f>IF($A180="","",IFERROR(INDEX(Baseline!$G$20:$G$49,MATCH($C180,Baseline!$A$20:$A$49,0)),"RED"))</f>
        <v/>
      </c>
      <c r="Q180" s="58">
        <f>IF($A180="","",$A180&amp;"|"&amp;$B180&amp;"|"&amp;$C180)</f>
        <v/>
      </c>
      <c r="R180" s="59" t="n"/>
      <c r="S180" s="60" t="n"/>
    </row>
    <row r="181" ht="15" customHeight="1" s="34">
      <c r="A181" s="54" t="n"/>
      <c r="B181" s="54" t="n"/>
      <c r="C181" s="54" t="n"/>
      <c r="D181" s="55">
        <f>IF($A181="","",IFERROR(INDEX(Baseline!$B$20:$B$49,MATCH($C181,Baseline!$A$20:$A$49,0)),"Line not in baseline"))</f>
        <v/>
      </c>
      <c r="E181" s="55">
        <f>IF($A181="","",IFERROR(INDEX(Baseline!$C$20:$C$49,MATCH($C181,Baseline!$A$20:$A$49,0)),""))</f>
        <v/>
      </c>
      <c r="F181" s="56">
        <f>IF($A181="","",IFERROR(INDEX(Baseline!$E$20:$E$49,MATCH($C181,Baseline!$A$20:$A$49,0)),""))</f>
        <v/>
      </c>
      <c r="G181" s="57" t="n"/>
      <c r="H181" s="54" t="n"/>
      <c r="I181" s="54" t="n"/>
      <c r="J181" s="39">
        <f>IF($A181="","",IF($E181="Informational","GREEN",IF($G181="",IF($E181="Mandatory","RED","YELLOW"),IF($N181="Exact",IF(UPPER(TRIM($G181&amp;""))=UPPER(TRIM($F181&amp;"")),"GREEN",$P181),IF(NOT(ISNUMBER($G181)),$P181,IF($N181="Min",IF($G181&gt;=$F181,"GREEN",IF($G181&gt;=$F181-$O181,"YELLOW",$P181)),IF($N181="Max",IF($G181&lt;=$F181,"GREEN",IF($G181&lt;=$F181+$O181,"YELLOW",$P181)),IF($N181="Range",IF(ABS($G181-$F181)&lt;=$O181,"GREEN",$P181),"CHECK RULE"))))))))</f>
        <v/>
      </c>
      <c r="K181" s="39">
        <f>IF($A181="","",IF($H181="Non-Compliant","RED",IF(AND(OR($H181="Alternative Offer",$H181="Partially Compliant"),$J181="GREEN"),"YELLOW",IF(AND($J181="GREEN",ISNUMBER($R181),$R181&lt;Baseline!$B$9),"YELLOW",$J181))))</f>
        <v/>
      </c>
      <c r="L181" s="39">
        <f>IF($A181="","",IF($K181="GREEN","GREEN",IF(COUNTIFS(Exceptions!$B$5:$B$104,$A181,Exceptions!$C$5:$C$104,$B181,Exceptions!$D$5:$D$104,$C181,Exceptions!$G$5:$G$104,"Accepted",Exceptions!$H$5:$H$104,"&lt;&gt;")&gt;0,"CLEARED",$K181)))</f>
        <v/>
      </c>
      <c r="M181" s="39">
        <f>IF($A181="","",IF($H181="","Declaration missing",IF($H181="Not Stated","Not stated in quotation",IF(AND(ISNUMBER($R181),$R181&lt;Baseline!$B$9),"Low AI confidence - verify",IF(AND($H181="Fully Compliant",$J181&lt;&gt;"GREEN"),"Declared Fully - evidence differs","")))))</f>
        <v/>
      </c>
      <c r="N181" s="58">
        <f>IF($A181="","",IFERROR(INDEX(Baseline!$D$20:$D$49,MATCH($C181,Baseline!$A$20:$A$49,0)),""))</f>
        <v/>
      </c>
      <c r="O181" s="58">
        <f>IF($A181="","",IFERROR(INDEX(Baseline!$F$20:$F$49,MATCH($C181,Baseline!$A$20:$A$49,0)),0))</f>
        <v/>
      </c>
      <c r="P181" s="58">
        <f>IF($A181="","",IFERROR(INDEX(Baseline!$G$20:$G$49,MATCH($C181,Baseline!$A$20:$A$49,0)),"RED"))</f>
        <v/>
      </c>
      <c r="Q181" s="58">
        <f>IF($A181="","",$A181&amp;"|"&amp;$B181&amp;"|"&amp;$C181)</f>
        <v/>
      </c>
      <c r="R181" s="59" t="n"/>
      <c r="S181" s="60" t="n"/>
    </row>
    <row r="182" ht="15" customHeight="1" s="34">
      <c r="A182" s="54" t="n"/>
      <c r="B182" s="54" t="n"/>
      <c r="C182" s="54" t="n"/>
      <c r="D182" s="55">
        <f>IF($A182="","",IFERROR(INDEX(Baseline!$B$20:$B$49,MATCH($C182,Baseline!$A$20:$A$49,0)),"Line not in baseline"))</f>
        <v/>
      </c>
      <c r="E182" s="55">
        <f>IF($A182="","",IFERROR(INDEX(Baseline!$C$20:$C$49,MATCH($C182,Baseline!$A$20:$A$49,0)),""))</f>
        <v/>
      </c>
      <c r="F182" s="56">
        <f>IF($A182="","",IFERROR(INDEX(Baseline!$E$20:$E$49,MATCH($C182,Baseline!$A$20:$A$49,0)),""))</f>
        <v/>
      </c>
      <c r="G182" s="57" t="n"/>
      <c r="H182" s="54" t="n"/>
      <c r="I182" s="54" t="n"/>
      <c r="J182" s="39">
        <f>IF($A182="","",IF($E182="Informational","GREEN",IF($G182="",IF($E182="Mandatory","RED","YELLOW"),IF($N182="Exact",IF(UPPER(TRIM($G182&amp;""))=UPPER(TRIM($F182&amp;"")),"GREEN",$P182),IF(NOT(ISNUMBER($G182)),$P182,IF($N182="Min",IF($G182&gt;=$F182,"GREEN",IF($G182&gt;=$F182-$O182,"YELLOW",$P182)),IF($N182="Max",IF($G182&lt;=$F182,"GREEN",IF($G182&lt;=$F182+$O182,"YELLOW",$P182)),IF($N182="Range",IF(ABS($G182-$F182)&lt;=$O182,"GREEN",$P182),"CHECK RULE"))))))))</f>
        <v/>
      </c>
      <c r="K182" s="39">
        <f>IF($A182="","",IF($H182="Non-Compliant","RED",IF(AND(OR($H182="Alternative Offer",$H182="Partially Compliant"),$J182="GREEN"),"YELLOW",IF(AND($J182="GREEN",ISNUMBER($R182),$R182&lt;Baseline!$B$9),"YELLOW",$J182))))</f>
        <v/>
      </c>
      <c r="L182" s="39">
        <f>IF($A182="","",IF($K182="GREEN","GREEN",IF(COUNTIFS(Exceptions!$B$5:$B$104,$A182,Exceptions!$C$5:$C$104,$B182,Exceptions!$D$5:$D$104,$C182,Exceptions!$G$5:$G$104,"Accepted",Exceptions!$H$5:$H$104,"&lt;&gt;")&gt;0,"CLEARED",$K182)))</f>
        <v/>
      </c>
      <c r="M182" s="39">
        <f>IF($A182="","",IF($H182="","Declaration missing",IF($H182="Not Stated","Not stated in quotation",IF(AND(ISNUMBER($R182),$R182&lt;Baseline!$B$9),"Low AI confidence - verify",IF(AND($H182="Fully Compliant",$J182&lt;&gt;"GREEN"),"Declared Fully - evidence differs","")))))</f>
        <v/>
      </c>
      <c r="N182" s="58">
        <f>IF($A182="","",IFERROR(INDEX(Baseline!$D$20:$D$49,MATCH($C182,Baseline!$A$20:$A$49,0)),""))</f>
        <v/>
      </c>
      <c r="O182" s="58">
        <f>IF($A182="","",IFERROR(INDEX(Baseline!$F$20:$F$49,MATCH($C182,Baseline!$A$20:$A$49,0)),0))</f>
        <v/>
      </c>
      <c r="P182" s="58">
        <f>IF($A182="","",IFERROR(INDEX(Baseline!$G$20:$G$49,MATCH($C182,Baseline!$A$20:$A$49,0)),"RED"))</f>
        <v/>
      </c>
      <c r="Q182" s="58">
        <f>IF($A182="","",$A182&amp;"|"&amp;$B182&amp;"|"&amp;$C182)</f>
        <v/>
      </c>
      <c r="R182" s="59" t="n"/>
      <c r="S182" s="60" t="n"/>
    </row>
    <row r="183" ht="15" customHeight="1" s="34">
      <c r="A183" s="54" t="n"/>
      <c r="B183" s="54" t="n"/>
      <c r="C183" s="54" t="n"/>
      <c r="D183" s="55">
        <f>IF($A183="","",IFERROR(INDEX(Baseline!$B$20:$B$49,MATCH($C183,Baseline!$A$20:$A$49,0)),"Line not in baseline"))</f>
        <v/>
      </c>
      <c r="E183" s="55">
        <f>IF($A183="","",IFERROR(INDEX(Baseline!$C$20:$C$49,MATCH($C183,Baseline!$A$20:$A$49,0)),""))</f>
        <v/>
      </c>
      <c r="F183" s="56">
        <f>IF($A183="","",IFERROR(INDEX(Baseline!$E$20:$E$49,MATCH($C183,Baseline!$A$20:$A$49,0)),""))</f>
        <v/>
      </c>
      <c r="G183" s="57" t="n"/>
      <c r="H183" s="54" t="n"/>
      <c r="I183" s="54" t="n"/>
      <c r="J183" s="39">
        <f>IF($A183="","",IF($E183="Informational","GREEN",IF($G183="",IF($E183="Mandatory","RED","YELLOW"),IF($N183="Exact",IF(UPPER(TRIM($G183&amp;""))=UPPER(TRIM($F183&amp;"")),"GREEN",$P183),IF(NOT(ISNUMBER($G183)),$P183,IF($N183="Min",IF($G183&gt;=$F183,"GREEN",IF($G183&gt;=$F183-$O183,"YELLOW",$P183)),IF($N183="Max",IF($G183&lt;=$F183,"GREEN",IF($G183&lt;=$F183+$O183,"YELLOW",$P183)),IF($N183="Range",IF(ABS($G183-$F183)&lt;=$O183,"GREEN",$P183),"CHECK RULE"))))))))</f>
        <v/>
      </c>
      <c r="K183" s="39">
        <f>IF($A183="","",IF($H183="Non-Compliant","RED",IF(AND(OR($H183="Alternative Offer",$H183="Partially Compliant"),$J183="GREEN"),"YELLOW",IF(AND($J183="GREEN",ISNUMBER($R183),$R183&lt;Baseline!$B$9),"YELLOW",$J183))))</f>
        <v/>
      </c>
      <c r="L183" s="39">
        <f>IF($A183="","",IF($K183="GREEN","GREEN",IF(COUNTIFS(Exceptions!$B$5:$B$104,$A183,Exceptions!$C$5:$C$104,$B183,Exceptions!$D$5:$D$104,$C183,Exceptions!$G$5:$G$104,"Accepted",Exceptions!$H$5:$H$104,"&lt;&gt;")&gt;0,"CLEARED",$K183)))</f>
        <v/>
      </c>
      <c r="M183" s="39">
        <f>IF($A183="","",IF($H183="","Declaration missing",IF($H183="Not Stated","Not stated in quotation",IF(AND(ISNUMBER($R183),$R183&lt;Baseline!$B$9),"Low AI confidence - verify",IF(AND($H183="Fully Compliant",$J183&lt;&gt;"GREEN"),"Declared Fully - evidence differs","")))))</f>
        <v/>
      </c>
      <c r="N183" s="58">
        <f>IF($A183="","",IFERROR(INDEX(Baseline!$D$20:$D$49,MATCH($C183,Baseline!$A$20:$A$49,0)),""))</f>
        <v/>
      </c>
      <c r="O183" s="58">
        <f>IF($A183="","",IFERROR(INDEX(Baseline!$F$20:$F$49,MATCH($C183,Baseline!$A$20:$A$49,0)),0))</f>
        <v/>
      </c>
      <c r="P183" s="58">
        <f>IF($A183="","",IFERROR(INDEX(Baseline!$G$20:$G$49,MATCH($C183,Baseline!$A$20:$A$49,0)),"RED"))</f>
        <v/>
      </c>
      <c r="Q183" s="58">
        <f>IF($A183="","",$A183&amp;"|"&amp;$B183&amp;"|"&amp;$C183)</f>
        <v/>
      </c>
      <c r="R183" s="59" t="n"/>
      <c r="S183" s="60" t="n"/>
    </row>
    <row r="184" ht="15" customHeight="1" s="34">
      <c r="A184" s="54" t="n"/>
      <c r="B184" s="54" t="n"/>
      <c r="C184" s="54" t="n"/>
      <c r="D184" s="55">
        <f>IF($A184="","",IFERROR(INDEX(Baseline!$B$20:$B$49,MATCH($C184,Baseline!$A$20:$A$49,0)),"Line not in baseline"))</f>
        <v/>
      </c>
      <c r="E184" s="55">
        <f>IF($A184="","",IFERROR(INDEX(Baseline!$C$20:$C$49,MATCH($C184,Baseline!$A$20:$A$49,0)),""))</f>
        <v/>
      </c>
      <c r="F184" s="56">
        <f>IF($A184="","",IFERROR(INDEX(Baseline!$E$20:$E$49,MATCH($C184,Baseline!$A$20:$A$49,0)),""))</f>
        <v/>
      </c>
      <c r="G184" s="57" t="n"/>
      <c r="H184" s="54" t="n"/>
      <c r="I184" s="54" t="n"/>
      <c r="J184" s="39">
        <f>IF($A184="","",IF($E184="Informational","GREEN",IF($G184="",IF($E184="Mandatory","RED","YELLOW"),IF($N184="Exact",IF(UPPER(TRIM($G184&amp;""))=UPPER(TRIM($F184&amp;"")),"GREEN",$P184),IF(NOT(ISNUMBER($G184)),$P184,IF($N184="Min",IF($G184&gt;=$F184,"GREEN",IF($G184&gt;=$F184-$O184,"YELLOW",$P184)),IF($N184="Max",IF($G184&lt;=$F184,"GREEN",IF($G184&lt;=$F184+$O184,"YELLOW",$P184)),IF($N184="Range",IF(ABS($G184-$F184)&lt;=$O184,"GREEN",$P184),"CHECK RULE"))))))))</f>
        <v/>
      </c>
      <c r="K184" s="39">
        <f>IF($A184="","",IF($H184="Non-Compliant","RED",IF(AND(OR($H184="Alternative Offer",$H184="Partially Compliant"),$J184="GREEN"),"YELLOW",IF(AND($J184="GREEN",ISNUMBER($R184),$R184&lt;Baseline!$B$9),"YELLOW",$J184))))</f>
        <v/>
      </c>
      <c r="L184" s="39">
        <f>IF($A184="","",IF($K184="GREEN","GREEN",IF(COUNTIFS(Exceptions!$B$5:$B$104,$A184,Exceptions!$C$5:$C$104,$B184,Exceptions!$D$5:$D$104,$C184,Exceptions!$G$5:$G$104,"Accepted",Exceptions!$H$5:$H$104,"&lt;&gt;")&gt;0,"CLEARED",$K184)))</f>
        <v/>
      </c>
      <c r="M184" s="39">
        <f>IF($A184="","",IF($H184="","Declaration missing",IF($H184="Not Stated","Not stated in quotation",IF(AND(ISNUMBER($R184),$R184&lt;Baseline!$B$9),"Low AI confidence - verify",IF(AND($H184="Fully Compliant",$J184&lt;&gt;"GREEN"),"Declared Fully - evidence differs","")))))</f>
        <v/>
      </c>
      <c r="N184" s="58">
        <f>IF($A184="","",IFERROR(INDEX(Baseline!$D$20:$D$49,MATCH($C184,Baseline!$A$20:$A$49,0)),""))</f>
        <v/>
      </c>
      <c r="O184" s="58">
        <f>IF($A184="","",IFERROR(INDEX(Baseline!$F$20:$F$49,MATCH($C184,Baseline!$A$20:$A$49,0)),0))</f>
        <v/>
      </c>
      <c r="P184" s="58">
        <f>IF($A184="","",IFERROR(INDEX(Baseline!$G$20:$G$49,MATCH($C184,Baseline!$A$20:$A$49,0)),"RED"))</f>
        <v/>
      </c>
      <c r="Q184" s="58">
        <f>IF($A184="","",$A184&amp;"|"&amp;$B184&amp;"|"&amp;$C184)</f>
        <v/>
      </c>
      <c r="R184" s="59" t="n"/>
      <c r="S184" s="60" t="n"/>
    </row>
    <row r="185" ht="15" customHeight="1" s="34">
      <c r="A185" s="54" t="n"/>
      <c r="B185" s="54" t="n"/>
      <c r="C185" s="54" t="n"/>
      <c r="D185" s="55">
        <f>IF($A185="","",IFERROR(INDEX(Baseline!$B$20:$B$49,MATCH($C185,Baseline!$A$20:$A$49,0)),"Line not in baseline"))</f>
        <v/>
      </c>
      <c r="E185" s="55">
        <f>IF($A185="","",IFERROR(INDEX(Baseline!$C$20:$C$49,MATCH($C185,Baseline!$A$20:$A$49,0)),""))</f>
        <v/>
      </c>
      <c r="F185" s="56">
        <f>IF($A185="","",IFERROR(INDEX(Baseline!$E$20:$E$49,MATCH($C185,Baseline!$A$20:$A$49,0)),""))</f>
        <v/>
      </c>
      <c r="G185" s="57" t="n"/>
      <c r="H185" s="54" t="n"/>
      <c r="I185" s="54" t="n"/>
      <c r="J185" s="39">
        <f>IF($A185="","",IF($E185="Informational","GREEN",IF($G185="",IF($E185="Mandatory","RED","YELLOW"),IF($N185="Exact",IF(UPPER(TRIM($G185&amp;""))=UPPER(TRIM($F185&amp;"")),"GREEN",$P185),IF(NOT(ISNUMBER($G185)),$P185,IF($N185="Min",IF($G185&gt;=$F185,"GREEN",IF($G185&gt;=$F185-$O185,"YELLOW",$P185)),IF($N185="Max",IF($G185&lt;=$F185,"GREEN",IF($G185&lt;=$F185+$O185,"YELLOW",$P185)),IF($N185="Range",IF(ABS($G185-$F185)&lt;=$O185,"GREEN",$P185),"CHECK RULE"))))))))</f>
        <v/>
      </c>
      <c r="K185" s="39">
        <f>IF($A185="","",IF($H185="Non-Compliant","RED",IF(AND(OR($H185="Alternative Offer",$H185="Partially Compliant"),$J185="GREEN"),"YELLOW",IF(AND($J185="GREEN",ISNUMBER($R185),$R185&lt;Baseline!$B$9),"YELLOW",$J185))))</f>
        <v/>
      </c>
      <c r="L185" s="39">
        <f>IF($A185="","",IF($K185="GREEN","GREEN",IF(COUNTIFS(Exceptions!$B$5:$B$104,$A185,Exceptions!$C$5:$C$104,$B185,Exceptions!$D$5:$D$104,$C185,Exceptions!$G$5:$G$104,"Accepted",Exceptions!$H$5:$H$104,"&lt;&gt;")&gt;0,"CLEARED",$K185)))</f>
        <v/>
      </c>
      <c r="M185" s="39">
        <f>IF($A185="","",IF($H185="","Declaration missing",IF($H185="Not Stated","Not stated in quotation",IF(AND(ISNUMBER($R185),$R185&lt;Baseline!$B$9),"Low AI confidence - verify",IF(AND($H185="Fully Compliant",$J185&lt;&gt;"GREEN"),"Declared Fully - evidence differs","")))))</f>
        <v/>
      </c>
      <c r="N185" s="58">
        <f>IF($A185="","",IFERROR(INDEX(Baseline!$D$20:$D$49,MATCH($C185,Baseline!$A$20:$A$49,0)),""))</f>
        <v/>
      </c>
      <c r="O185" s="58">
        <f>IF($A185="","",IFERROR(INDEX(Baseline!$F$20:$F$49,MATCH($C185,Baseline!$A$20:$A$49,0)),0))</f>
        <v/>
      </c>
      <c r="P185" s="58">
        <f>IF($A185="","",IFERROR(INDEX(Baseline!$G$20:$G$49,MATCH($C185,Baseline!$A$20:$A$49,0)),"RED"))</f>
        <v/>
      </c>
      <c r="Q185" s="58">
        <f>IF($A185="","",$A185&amp;"|"&amp;$B185&amp;"|"&amp;$C185)</f>
        <v/>
      </c>
      <c r="R185" s="59" t="n"/>
      <c r="S185" s="60" t="n"/>
    </row>
    <row r="186" ht="15" customHeight="1" s="34">
      <c r="A186" s="54" t="n"/>
      <c r="B186" s="54" t="n"/>
      <c r="C186" s="54" t="n"/>
      <c r="D186" s="55">
        <f>IF($A186="","",IFERROR(INDEX(Baseline!$B$20:$B$49,MATCH($C186,Baseline!$A$20:$A$49,0)),"Line not in baseline"))</f>
        <v/>
      </c>
      <c r="E186" s="55">
        <f>IF($A186="","",IFERROR(INDEX(Baseline!$C$20:$C$49,MATCH($C186,Baseline!$A$20:$A$49,0)),""))</f>
        <v/>
      </c>
      <c r="F186" s="56">
        <f>IF($A186="","",IFERROR(INDEX(Baseline!$E$20:$E$49,MATCH($C186,Baseline!$A$20:$A$49,0)),""))</f>
        <v/>
      </c>
      <c r="G186" s="57" t="n"/>
      <c r="H186" s="54" t="n"/>
      <c r="I186" s="54" t="n"/>
      <c r="J186" s="39">
        <f>IF($A186="","",IF($E186="Informational","GREEN",IF($G186="",IF($E186="Mandatory","RED","YELLOW"),IF($N186="Exact",IF(UPPER(TRIM($G186&amp;""))=UPPER(TRIM($F186&amp;"")),"GREEN",$P186),IF(NOT(ISNUMBER($G186)),$P186,IF($N186="Min",IF($G186&gt;=$F186,"GREEN",IF($G186&gt;=$F186-$O186,"YELLOW",$P186)),IF($N186="Max",IF($G186&lt;=$F186,"GREEN",IF($G186&lt;=$F186+$O186,"YELLOW",$P186)),IF($N186="Range",IF(ABS($G186-$F186)&lt;=$O186,"GREEN",$P186),"CHECK RULE"))))))))</f>
        <v/>
      </c>
      <c r="K186" s="39">
        <f>IF($A186="","",IF($H186="Non-Compliant","RED",IF(AND(OR($H186="Alternative Offer",$H186="Partially Compliant"),$J186="GREEN"),"YELLOW",IF(AND($J186="GREEN",ISNUMBER($R186),$R186&lt;Baseline!$B$9),"YELLOW",$J186))))</f>
        <v/>
      </c>
      <c r="L186" s="39">
        <f>IF($A186="","",IF($K186="GREEN","GREEN",IF(COUNTIFS(Exceptions!$B$5:$B$104,$A186,Exceptions!$C$5:$C$104,$B186,Exceptions!$D$5:$D$104,$C186,Exceptions!$G$5:$G$104,"Accepted",Exceptions!$H$5:$H$104,"&lt;&gt;")&gt;0,"CLEARED",$K186)))</f>
        <v/>
      </c>
      <c r="M186" s="39">
        <f>IF($A186="","",IF($H186="","Declaration missing",IF($H186="Not Stated","Not stated in quotation",IF(AND(ISNUMBER($R186),$R186&lt;Baseline!$B$9),"Low AI confidence - verify",IF(AND($H186="Fully Compliant",$J186&lt;&gt;"GREEN"),"Declared Fully - evidence differs","")))))</f>
        <v/>
      </c>
      <c r="N186" s="58">
        <f>IF($A186="","",IFERROR(INDEX(Baseline!$D$20:$D$49,MATCH($C186,Baseline!$A$20:$A$49,0)),""))</f>
        <v/>
      </c>
      <c r="O186" s="58">
        <f>IF($A186="","",IFERROR(INDEX(Baseline!$F$20:$F$49,MATCH($C186,Baseline!$A$20:$A$49,0)),0))</f>
        <v/>
      </c>
      <c r="P186" s="58">
        <f>IF($A186="","",IFERROR(INDEX(Baseline!$G$20:$G$49,MATCH($C186,Baseline!$A$20:$A$49,0)),"RED"))</f>
        <v/>
      </c>
      <c r="Q186" s="58">
        <f>IF($A186="","",$A186&amp;"|"&amp;$B186&amp;"|"&amp;$C186)</f>
        <v/>
      </c>
      <c r="R186" s="59" t="n"/>
      <c r="S186" s="60" t="n"/>
    </row>
    <row r="187" ht="15" customHeight="1" s="34">
      <c r="A187" s="54" t="n"/>
      <c r="B187" s="54" t="n"/>
      <c r="C187" s="54" t="n"/>
      <c r="D187" s="55">
        <f>IF($A187="","",IFERROR(INDEX(Baseline!$B$20:$B$49,MATCH($C187,Baseline!$A$20:$A$49,0)),"Line not in baseline"))</f>
        <v/>
      </c>
      <c r="E187" s="55">
        <f>IF($A187="","",IFERROR(INDEX(Baseline!$C$20:$C$49,MATCH($C187,Baseline!$A$20:$A$49,0)),""))</f>
        <v/>
      </c>
      <c r="F187" s="56">
        <f>IF($A187="","",IFERROR(INDEX(Baseline!$E$20:$E$49,MATCH($C187,Baseline!$A$20:$A$49,0)),""))</f>
        <v/>
      </c>
      <c r="G187" s="57" t="n"/>
      <c r="H187" s="54" t="n"/>
      <c r="I187" s="54" t="n"/>
      <c r="J187" s="39">
        <f>IF($A187="","",IF($E187="Informational","GREEN",IF($G187="",IF($E187="Mandatory","RED","YELLOW"),IF($N187="Exact",IF(UPPER(TRIM($G187&amp;""))=UPPER(TRIM($F187&amp;"")),"GREEN",$P187),IF(NOT(ISNUMBER($G187)),$P187,IF($N187="Min",IF($G187&gt;=$F187,"GREEN",IF($G187&gt;=$F187-$O187,"YELLOW",$P187)),IF($N187="Max",IF($G187&lt;=$F187,"GREEN",IF($G187&lt;=$F187+$O187,"YELLOW",$P187)),IF($N187="Range",IF(ABS($G187-$F187)&lt;=$O187,"GREEN",$P187),"CHECK RULE"))))))))</f>
        <v/>
      </c>
      <c r="K187" s="39">
        <f>IF($A187="","",IF($H187="Non-Compliant","RED",IF(AND(OR($H187="Alternative Offer",$H187="Partially Compliant"),$J187="GREEN"),"YELLOW",IF(AND($J187="GREEN",ISNUMBER($R187),$R187&lt;Baseline!$B$9),"YELLOW",$J187))))</f>
        <v/>
      </c>
      <c r="L187" s="39">
        <f>IF($A187="","",IF($K187="GREEN","GREEN",IF(COUNTIFS(Exceptions!$B$5:$B$104,$A187,Exceptions!$C$5:$C$104,$B187,Exceptions!$D$5:$D$104,$C187,Exceptions!$G$5:$G$104,"Accepted",Exceptions!$H$5:$H$104,"&lt;&gt;")&gt;0,"CLEARED",$K187)))</f>
        <v/>
      </c>
      <c r="M187" s="39">
        <f>IF($A187="","",IF($H187="","Declaration missing",IF($H187="Not Stated","Not stated in quotation",IF(AND(ISNUMBER($R187),$R187&lt;Baseline!$B$9),"Low AI confidence - verify",IF(AND($H187="Fully Compliant",$J187&lt;&gt;"GREEN"),"Declared Fully - evidence differs","")))))</f>
        <v/>
      </c>
      <c r="N187" s="58">
        <f>IF($A187="","",IFERROR(INDEX(Baseline!$D$20:$D$49,MATCH($C187,Baseline!$A$20:$A$49,0)),""))</f>
        <v/>
      </c>
      <c r="O187" s="58">
        <f>IF($A187="","",IFERROR(INDEX(Baseline!$F$20:$F$49,MATCH($C187,Baseline!$A$20:$A$49,0)),0))</f>
        <v/>
      </c>
      <c r="P187" s="58">
        <f>IF($A187="","",IFERROR(INDEX(Baseline!$G$20:$G$49,MATCH($C187,Baseline!$A$20:$A$49,0)),"RED"))</f>
        <v/>
      </c>
      <c r="Q187" s="58">
        <f>IF($A187="","",$A187&amp;"|"&amp;$B187&amp;"|"&amp;$C187)</f>
        <v/>
      </c>
      <c r="R187" s="59" t="n"/>
      <c r="S187" s="60" t="n"/>
    </row>
    <row r="188" ht="15" customHeight="1" s="34">
      <c r="A188" s="54" t="n"/>
      <c r="B188" s="54" t="n"/>
      <c r="C188" s="54" t="n"/>
      <c r="D188" s="55">
        <f>IF($A188="","",IFERROR(INDEX(Baseline!$B$20:$B$49,MATCH($C188,Baseline!$A$20:$A$49,0)),"Line not in baseline"))</f>
        <v/>
      </c>
      <c r="E188" s="55">
        <f>IF($A188="","",IFERROR(INDEX(Baseline!$C$20:$C$49,MATCH($C188,Baseline!$A$20:$A$49,0)),""))</f>
        <v/>
      </c>
      <c r="F188" s="56">
        <f>IF($A188="","",IFERROR(INDEX(Baseline!$E$20:$E$49,MATCH($C188,Baseline!$A$20:$A$49,0)),""))</f>
        <v/>
      </c>
      <c r="G188" s="57" t="n"/>
      <c r="H188" s="54" t="n"/>
      <c r="I188" s="54" t="n"/>
      <c r="J188" s="39">
        <f>IF($A188="","",IF($E188="Informational","GREEN",IF($G188="",IF($E188="Mandatory","RED","YELLOW"),IF($N188="Exact",IF(UPPER(TRIM($G188&amp;""))=UPPER(TRIM($F188&amp;"")),"GREEN",$P188),IF(NOT(ISNUMBER($G188)),$P188,IF($N188="Min",IF($G188&gt;=$F188,"GREEN",IF($G188&gt;=$F188-$O188,"YELLOW",$P188)),IF($N188="Max",IF($G188&lt;=$F188,"GREEN",IF($G188&lt;=$F188+$O188,"YELLOW",$P188)),IF($N188="Range",IF(ABS($G188-$F188)&lt;=$O188,"GREEN",$P188),"CHECK RULE"))))))))</f>
        <v/>
      </c>
      <c r="K188" s="39">
        <f>IF($A188="","",IF($H188="Non-Compliant","RED",IF(AND(OR($H188="Alternative Offer",$H188="Partially Compliant"),$J188="GREEN"),"YELLOW",IF(AND($J188="GREEN",ISNUMBER($R188),$R188&lt;Baseline!$B$9),"YELLOW",$J188))))</f>
        <v/>
      </c>
      <c r="L188" s="39">
        <f>IF($A188="","",IF($K188="GREEN","GREEN",IF(COUNTIFS(Exceptions!$B$5:$B$104,$A188,Exceptions!$C$5:$C$104,$B188,Exceptions!$D$5:$D$104,$C188,Exceptions!$G$5:$G$104,"Accepted",Exceptions!$H$5:$H$104,"&lt;&gt;")&gt;0,"CLEARED",$K188)))</f>
        <v/>
      </c>
      <c r="M188" s="39">
        <f>IF($A188="","",IF($H188="","Declaration missing",IF($H188="Not Stated","Not stated in quotation",IF(AND(ISNUMBER($R188),$R188&lt;Baseline!$B$9),"Low AI confidence - verify",IF(AND($H188="Fully Compliant",$J188&lt;&gt;"GREEN"),"Declared Fully - evidence differs","")))))</f>
        <v/>
      </c>
      <c r="N188" s="58">
        <f>IF($A188="","",IFERROR(INDEX(Baseline!$D$20:$D$49,MATCH($C188,Baseline!$A$20:$A$49,0)),""))</f>
        <v/>
      </c>
      <c r="O188" s="58">
        <f>IF($A188="","",IFERROR(INDEX(Baseline!$F$20:$F$49,MATCH($C188,Baseline!$A$20:$A$49,0)),0))</f>
        <v/>
      </c>
      <c r="P188" s="58">
        <f>IF($A188="","",IFERROR(INDEX(Baseline!$G$20:$G$49,MATCH($C188,Baseline!$A$20:$A$49,0)),"RED"))</f>
        <v/>
      </c>
      <c r="Q188" s="58">
        <f>IF($A188="","",$A188&amp;"|"&amp;$B188&amp;"|"&amp;$C188)</f>
        <v/>
      </c>
      <c r="R188" s="59" t="n"/>
      <c r="S188" s="60" t="n"/>
    </row>
    <row r="189" ht="15" customHeight="1" s="34">
      <c r="A189" s="54" t="n"/>
      <c r="B189" s="54" t="n"/>
      <c r="C189" s="54" t="n"/>
      <c r="D189" s="55">
        <f>IF($A189="","",IFERROR(INDEX(Baseline!$B$20:$B$49,MATCH($C189,Baseline!$A$20:$A$49,0)),"Line not in baseline"))</f>
        <v/>
      </c>
      <c r="E189" s="55">
        <f>IF($A189="","",IFERROR(INDEX(Baseline!$C$20:$C$49,MATCH($C189,Baseline!$A$20:$A$49,0)),""))</f>
        <v/>
      </c>
      <c r="F189" s="56">
        <f>IF($A189="","",IFERROR(INDEX(Baseline!$E$20:$E$49,MATCH($C189,Baseline!$A$20:$A$49,0)),""))</f>
        <v/>
      </c>
      <c r="G189" s="57" t="n"/>
      <c r="H189" s="54" t="n"/>
      <c r="I189" s="54" t="n"/>
      <c r="J189" s="39">
        <f>IF($A189="","",IF($E189="Informational","GREEN",IF($G189="",IF($E189="Mandatory","RED","YELLOW"),IF($N189="Exact",IF(UPPER(TRIM($G189&amp;""))=UPPER(TRIM($F189&amp;"")),"GREEN",$P189),IF(NOT(ISNUMBER($G189)),$P189,IF($N189="Min",IF($G189&gt;=$F189,"GREEN",IF($G189&gt;=$F189-$O189,"YELLOW",$P189)),IF($N189="Max",IF($G189&lt;=$F189,"GREEN",IF($G189&lt;=$F189+$O189,"YELLOW",$P189)),IF($N189="Range",IF(ABS($G189-$F189)&lt;=$O189,"GREEN",$P189),"CHECK RULE"))))))))</f>
        <v/>
      </c>
      <c r="K189" s="39">
        <f>IF($A189="","",IF($H189="Non-Compliant","RED",IF(AND(OR($H189="Alternative Offer",$H189="Partially Compliant"),$J189="GREEN"),"YELLOW",IF(AND($J189="GREEN",ISNUMBER($R189),$R189&lt;Baseline!$B$9),"YELLOW",$J189))))</f>
        <v/>
      </c>
      <c r="L189" s="39">
        <f>IF($A189="","",IF($K189="GREEN","GREEN",IF(COUNTIFS(Exceptions!$B$5:$B$104,$A189,Exceptions!$C$5:$C$104,$B189,Exceptions!$D$5:$D$104,$C189,Exceptions!$G$5:$G$104,"Accepted",Exceptions!$H$5:$H$104,"&lt;&gt;")&gt;0,"CLEARED",$K189)))</f>
        <v/>
      </c>
      <c r="M189" s="39">
        <f>IF($A189="","",IF($H189="","Declaration missing",IF($H189="Not Stated","Not stated in quotation",IF(AND(ISNUMBER($R189),$R189&lt;Baseline!$B$9),"Low AI confidence - verify",IF(AND($H189="Fully Compliant",$J189&lt;&gt;"GREEN"),"Declared Fully - evidence differs","")))))</f>
        <v/>
      </c>
      <c r="N189" s="58">
        <f>IF($A189="","",IFERROR(INDEX(Baseline!$D$20:$D$49,MATCH($C189,Baseline!$A$20:$A$49,0)),""))</f>
        <v/>
      </c>
      <c r="O189" s="58">
        <f>IF($A189="","",IFERROR(INDEX(Baseline!$F$20:$F$49,MATCH($C189,Baseline!$A$20:$A$49,0)),0))</f>
        <v/>
      </c>
      <c r="P189" s="58">
        <f>IF($A189="","",IFERROR(INDEX(Baseline!$G$20:$G$49,MATCH($C189,Baseline!$A$20:$A$49,0)),"RED"))</f>
        <v/>
      </c>
      <c r="Q189" s="58">
        <f>IF($A189="","",$A189&amp;"|"&amp;$B189&amp;"|"&amp;$C189)</f>
        <v/>
      </c>
      <c r="R189" s="59" t="n"/>
      <c r="S189" s="60" t="n"/>
    </row>
    <row r="190" ht="15" customHeight="1" s="34">
      <c r="A190" s="54" t="n"/>
      <c r="B190" s="54" t="n"/>
      <c r="C190" s="54" t="n"/>
      <c r="D190" s="55">
        <f>IF($A190="","",IFERROR(INDEX(Baseline!$B$20:$B$49,MATCH($C190,Baseline!$A$20:$A$49,0)),"Line not in baseline"))</f>
        <v/>
      </c>
      <c r="E190" s="55">
        <f>IF($A190="","",IFERROR(INDEX(Baseline!$C$20:$C$49,MATCH($C190,Baseline!$A$20:$A$49,0)),""))</f>
        <v/>
      </c>
      <c r="F190" s="56">
        <f>IF($A190="","",IFERROR(INDEX(Baseline!$E$20:$E$49,MATCH($C190,Baseline!$A$20:$A$49,0)),""))</f>
        <v/>
      </c>
      <c r="G190" s="57" t="n"/>
      <c r="H190" s="54" t="n"/>
      <c r="I190" s="54" t="n"/>
      <c r="J190" s="39">
        <f>IF($A190="","",IF($E190="Informational","GREEN",IF($G190="",IF($E190="Mandatory","RED","YELLOW"),IF($N190="Exact",IF(UPPER(TRIM($G190&amp;""))=UPPER(TRIM($F190&amp;"")),"GREEN",$P190),IF(NOT(ISNUMBER($G190)),$P190,IF($N190="Min",IF($G190&gt;=$F190,"GREEN",IF($G190&gt;=$F190-$O190,"YELLOW",$P190)),IF($N190="Max",IF($G190&lt;=$F190,"GREEN",IF($G190&lt;=$F190+$O190,"YELLOW",$P190)),IF($N190="Range",IF(ABS($G190-$F190)&lt;=$O190,"GREEN",$P190),"CHECK RULE"))))))))</f>
        <v/>
      </c>
      <c r="K190" s="39">
        <f>IF($A190="","",IF($H190="Non-Compliant","RED",IF(AND(OR($H190="Alternative Offer",$H190="Partially Compliant"),$J190="GREEN"),"YELLOW",IF(AND($J190="GREEN",ISNUMBER($R190),$R190&lt;Baseline!$B$9),"YELLOW",$J190))))</f>
        <v/>
      </c>
      <c r="L190" s="39">
        <f>IF($A190="","",IF($K190="GREEN","GREEN",IF(COUNTIFS(Exceptions!$B$5:$B$104,$A190,Exceptions!$C$5:$C$104,$B190,Exceptions!$D$5:$D$104,$C190,Exceptions!$G$5:$G$104,"Accepted",Exceptions!$H$5:$H$104,"&lt;&gt;")&gt;0,"CLEARED",$K190)))</f>
        <v/>
      </c>
      <c r="M190" s="39">
        <f>IF($A190="","",IF($H190="","Declaration missing",IF($H190="Not Stated","Not stated in quotation",IF(AND(ISNUMBER($R190),$R190&lt;Baseline!$B$9),"Low AI confidence - verify",IF(AND($H190="Fully Compliant",$J190&lt;&gt;"GREEN"),"Declared Fully - evidence differs","")))))</f>
        <v/>
      </c>
      <c r="N190" s="58">
        <f>IF($A190="","",IFERROR(INDEX(Baseline!$D$20:$D$49,MATCH($C190,Baseline!$A$20:$A$49,0)),""))</f>
        <v/>
      </c>
      <c r="O190" s="58">
        <f>IF($A190="","",IFERROR(INDEX(Baseline!$F$20:$F$49,MATCH($C190,Baseline!$A$20:$A$49,0)),0))</f>
        <v/>
      </c>
      <c r="P190" s="58">
        <f>IF($A190="","",IFERROR(INDEX(Baseline!$G$20:$G$49,MATCH($C190,Baseline!$A$20:$A$49,0)),"RED"))</f>
        <v/>
      </c>
      <c r="Q190" s="58">
        <f>IF($A190="","",$A190&amp;"|"&amp;$B190&amp;"|"&amp;$C190)</f>
        <v/>
      </c>
      <c r="R190" s="59" t="n"/>
      <c r="S190" s="60" t="n"/>
    </row>
    <row r="191" ht="15" customHeight="1" s="34">
      <c r="A191" s="54" t="n"/>
      <c r="B191" s="54" t="n"/>
      <c r="C191" s="54" t="n"/>
      <c r="D191" s="55">
        <f>IF($A191="","",IFERROR(INDEX(Baseline!$B$20:$B$49,MATCH($C191,Baseline!$A$20:$A$49,0)),"Line not in baseline"))</f>
        <v/>
      </c>
      <c r="E191" s="55">
        <f>IF($A191="","",IFERROR(INDEX(Baseline!$C$20:$C$49,MATCH($C191,Baseline!$A$20:$A$49,0)),""))</f>
        <v/>
      </c>
      <c r="F191" s="56">
        <f>IF($A191="","",IFERROR(INDEX(Baseline!$E$20:$E$49,MATCH($C191,Baseline!$A$20:$A$49,0)),""))</f>
        <v/>
      </c>
      <c r="G191" s="57" t="n"/>
      <c r="H191" s="54" t="n"/>
      <c r="I191" s="54" t="n"/>
      <c r="J191" s="39">
        <f>IF($A191="","",IF($E191="Informational","GREEN",IF($G191="",IF($E191="Mandatory","RED","YELLOW"),IF($N191="Exact",IF(UPPER(TRIM($G191&amp;""))=UPPER(TRIM($F191&amp;"")),"GREEN",$P191),IF(NOT(ISNUMBER($G191)),$P191,IF($N191="Min",IF($G191&gt;=$F191,"GREEN",IF($G191&gt;=$F191-$O191,"YELLOW",$P191)),IF($N191="Max",IF($G191&lt;=$F191,"GREEN",IF($G191&lt;=$F191+$O191,"YELLOW",$P191)),IF($N191="Range",IF(ABS($G191-$F191)&lt;=$O191,"GREEN",$P191),"CHECK RULE"))))))))</f>
        <v/>
      </c>
      <c r="K191" s="39">
        <f>IF($A191="","",IF($H191="Non-Compliant","RED",IF(AND(OR($H191="Alternative Offer",$H191="Partially Compliant"),$J191="GREEN"),"YELLOW",IF(AND($J191="GREEN",ISNUMBER($R191),$R191&lt;Baseline!$B$9),"YELLOW",$J191))))</f>
        <v/>
      </c>
      <c r="L191" s="39">
        <f>IF($A191="","",IF($K191="GREEN","GREEN",IF(COUNTIFS(Exceptions!$B$5:$B$104,$A191,Exceptions!$C$5:$C$104,$B191,Exceptions!$D$5:$D$104,$C191,Exceptions!$G$5:$G$104,"Accepted",Exceptions!$H$5:$H$104,"&lt;&gt;")&gt;0,"CLEARED",$K191)))</f>
        <v/>
      </c>
      <c r="M191" s="39">
        <f>IF($A191="","",IF($H191="","Declaration missing",IF($H191="Not Stated","Not stated in quotation",IF(AND(ISNUMBER($R191),$R191&lt;Baseline!$B$9),"Low AI confidence - verify",IF(AND($H191="Fully Compliant",$J191&lt;&gt;"GREEN"),"Declared Fully - evidence differs","")))))</f>
        <v/>
      </c>
      <c r="N191" s="58">
        <f>IF($A191="","",IFERROR(INDEX(Baseline!$D$20:$D$49,MATCH($C191,Baseline!$A$20:$A$49,0)),""))</f>
        <v/>
      </c>
      <c r="O191" s="58">
        <f>IF($A191="","",IFERROR(INDEX(Baseline!$F$20:$F$49,MATCH($C191,Baseline!$A$20:$A$49,0)),0))</f>
        <v/>
      </c>
      <c r="P191" s="58">
        <f>IF($A191="","",IFERROR(INDEX(Baseline!$G$20:$G$49,MATCH($C191,Baseline!$A$20:$A$49,0)),"RED"))</f>
        <v/>
      </c>
      <c r="Q191" s="58">
        <f>IF($A191="","",$A191&amp;"|"&amp;$B191&amp;"|"&amp;$C191)</f>
        <v/>
      </c>
      <c r="R191" s="59" t="n"/>
      <c r="S191" s="60" t="n"/>
    </row>
    <row r="192" ht="15" customHeight="1" s="34">
      <c r="A192" s="54" t="n"/>
      <c r="B192" s="54" t="n"/>
      <c r="C192" s="54" t="n"/>
      <c r="D192" s="55">
        <f>IF($A192="","",IFERROR(INDEX(Baseline!$B$20:$B$49,MATCH($C192,Baseline!$A$20:$A$49,0)),"Line not in baseline"))</f>
        <v/>
      </c>
      <c r="E192" s="55">
        <f>IF($A192="","",IFERROR(INDEX(Baseline!$C$20:$C$49,MATCH($C192,Baseline!$A$20:$A$49,0)),""))</f>
        <v/>
      </c>
      <c r="F192" s="56">
        <f>IF($A192="","",IFERROR(INDEX(Baseline!$E$20:$E$49,MATCH($C192,Baseline!$A$20:$A$49,0)),""))</f>
        <v/>
      </c>
      <c r="G192" s="57" t="n"/>
      <c r="H192" s="54" t="n"/>
      <c r="I192" s="54" t="n"/>
      <c r="J192" s="39">
        <f>IF($A192="","",IF($E192="Informational","GREEN",IF($G192="",IF($E192="Mandatory","RED","YELLOW"),IF($N192="Exact",IF(UPPER(TRIM($G192&amp;""))=UPPER(TRIM($F192&amp;"")),"GREEN",$P192),IF(NOT(ISNUMBER($G192)),$P192,IF($N192="Min",IF($G192&gt;=$F192,"GREEN",IF($G192&gt;=$F192-$O192,"YELLOW",$P192)),IF($N192="Max",IF($G192&lt;=$F192,"GREEN",IF($G192&lt;=$F192+$O192,"YELLOW",$P192)),IF($N192="Range",IF(ABS($G192-$F192)&lt;=$O192,"GREEN",$P192),"CHECK RULE"))))))))</f>
        <v/>
      </c>
      <c r="K192" s="39">
        <f>IF($A192="","",IF($H192="Non-Compliant","RED",IF(AND(OR($H192="Alternative Offer",$H192="Partially Compliant"),$J192="GREEN"),"YELLOW",IF(AND($J192="GREEN",ISNUMBER($R192),$R192&lt;Baseline!$B$9),"YELLOW",$J192))))</f>
        <v/>
      </c>
      <c r="L192" s="39">
        <f>IF($A192="","",IF($K192="GREEN","GREEN",IF(COUNTIFS(Exceptions!$B$5:$B$104,$A192,Exceptions!$C$5:$C$104,$B192,Exceptions!$D$5:$D$104,$C192,Exceptions!$G$5:$G$104,"Accepted",Exceptions!$H$5:$H$104,"&lt;&gt;")&gt;0,"CLEARED",$K192)))</f>
        <v/>
      </c>
      <c r="M192" s="39">
        <f>IF($A192="","",IF($H192="","Declaration missing",IF($H192="Not Stated","Not stated in quotation",IF(AND(ISNUMBER($R192),$R192&lt;Baseline!$B$9),"Low AI confidence - verify",IF(AND($H192="Fully Compliant",$J192&lt;&gt;"GREEN"),"Declared Fully - evidence differs","")))))</f>
        <v/>
      </c>
      <c r="N192" s="58">
        <f>IF($A192="","",IFERROR(INDEX(Baseline!$D$20:$D$49,MATCH($C192,Baseline!$A$20:$A$49,0)),""))</f>
        <v/>
      </c>
      <c r="O192" s="58">
        <f>IF($A192="","",IFERROR(INDEX(Baseline!$F$20:$F$49,MATCH($C192,Baseline!$A$20:$A$49,0)),0))</f>
        <v/>
      </c>
      <c r="P192" s="58">
        <f>IF($A192="","",IFERROR(INDEX(Baseline!$G$20:$G$49,MATCH($C192,Baseline!$A$20:$A$49,0)),"RED"))</f>
        <v/>
      </c>
      <c r="Q192" s="58">
        <f>IF($A192="","",$A192&amp;"|"&amp;$B192&amp;"|"&amp;$C192)</f>
        <v/>
      </c>
      <c r="R192" s="59" t="n"/>
      <c r="S192" s="60" t="n"/>
    </row>
    <row r="193" ht="15" customHeight="1" s="34">
      <c r="A193" s="54" t="n"/>
      <c r="B193" s="54" t="n"/>
      <c r="C193" s="54" t="n"/>
      <c r="D193" s="55">
        <f>IF($A193="","",IFERROR(INDEX(Baseline!$B$20:$B$49,MATCH($C193,Baseline!$A$20:$A$49,0)),"Line not in baseline"))</f>
        <v/>
      </c>
      <c r="E193" s="55">
        <f>IF($A193="","",IFERROR(INDEX(Baseline!$C$20:$C$49,MATCH($C193,Baseline!$A$20:$A$49,0)),""))</f>
        <v/>
      </c>
      <c r="F193" s="56">
        <f>IF($A193="","",IFERROR(INDEX(Baseline!$E$20:$E$49,MATCH($C193,Baseline!$A$20:$A$49,0)),""))</f>
        <v/>
      </c>
      <c r="G193" s="57" t="n"/>
      <c r="H193" s="54" t="n"/>
      <c r="I193" s="54" t="n"/>
      <c r="J193" s="39">
        <f>IF($A193="","",IF($E193="Informational","GREEN",IF($G193="",IF($E193="Mandatory","RED","YELLOW"),IF($N193="Exact",IF(UPPER(TRIM($G193&amp;""))=UPPER(TRIM($F193&amp;"")),"GREEN",$P193),IF(NOT(ISNUMBER($G193)),$P193,IF($N193="Min",IF($G193&gt;=$F193,"GREEN",IF($G193&gt;=$F193-$O193,"YELLOW",$P193)),IF($N193="Max",IF($G193&lt;=$F193,"GREEN",IF($G193&lt;=$F193+$O193,"YELLOW",$P193)),IF($N193="Range",IF(ABS($G193-$F193)&lt;=$O193,"GREEN",$P193),"CHECK RULE"))))))))</f>
        <v/>
      </c>
      <c r="K193" s="39">
        <f>IF($A193="","",IF($H193="Non-Compliant","RED",IF(AND(OR($H193="Alternative Offer",$H193="Partially Compliant"),$J193="GREEN"),"YELLOW",IF(AND($J193="GREEN",ISNUMBER($R193),$R193&lt;Baseline!$B$9),"YELLOW",$J193))))</f>
        <v/>
      </c>
      <c r="L193" s="39">
        <f>IF($A193="","",IF($K193="GREEN","GREEN",IF(COUNTIFS(Exceptions!$B$5:$B$104,$A193,Exceptions!$C$5:$C$104,$B193,Exceptions!$D$5:$D$104,$C193,Exceptions!$G$5:$G$104,"Accepted",Exceptions!$H$5:$H$104,"&lt;&gt;")&gt;0,"CLEARED",$K193)))</f>
        <v/>
      </c>
      <c r="M193" s="39">
        <f>IF($A193="","",IF($H193="","Declaration missing",IF($H193="Not Stated","Not stated in quotation",IF(AND(ISNUMBER($R193),$R193&lt;Baseline!$B$9),"Low AI confidence - verify",IF(AND($H193="Fully Compliant",$J193&lt;&gt;"GREEN"),"Declared Fully - evidence differs","")))))</f>
        <v/>
      </c>
      <c r="N193" s="58">
        <f>IF($A193="","",IFERROR(INDEX(Baseline!$D$20:$D$49,MATCH($C193,Baseline!$A$20:$A$49,0)),""))</f>
        <v/>
      </c>
      <c r="O193" s="58">
        <f>IF($A193="","",IFERROR(INDEX(Baseline!$F$20:$F$49,MATCH($C193,Baseline!$A$20:$A$49,0)),0))</f>
        <v/>
      </c>
      <c r="P193" s="58">
        <f>IF($A193="","",IFERROR(INDEX(Baseline!$G$20:$G$49,MATCH($C193,Baseline!$A$20:$A$49,0)),"RED"))</f>
        <v/>
      </c>
      <c r="Q193" s="58">
        <f>IF($A193="","",$A193&amp;"|"&amp;$B193&amp;"|"&amp;$C193)</f>
        <v/>
      </c>
      <c r="R193" s="59" t="n"/>
      <c r="S193" s="60" t="n"/>
    </row>
    <row r="194" ht="15" customHeight="1" s="34">
      <c r="A194" s="54" t="n"/>
      <c r="B194" s="54" t="n"/>
      <c r="C194" s="54" t="n"/>
      <c r="D194" s="55">
        <f>IF($A194="","",IFERROR(INDEX(Baseline!$B$20:$B$49,MATCH($C194,Baseline!$A$20:$A$49,0)),"Line not in baseline"))</f>
        <v/>
      </c>
      <c r="E194" s="55">
        <f>IF($A194="","",IFERROR(INDEX(Baseline!$C$20:$C$49,MATCH($C194,Baseline!$A$20:$A$49,0)),""))</f>
        <v/>
      </c>
      <c r="F194" s="56">
        <f>IF($A194="","",IFERROR(INDEX(Baseline!$E$20:$E$49,MATCH($C194,Baseline!$A$20:$A$49,0)),""))</f>
        <v/>
      </c>
      <c r="G194" s="57" t="n"/>
      <c r="H194" s="54" t="n"/>
      <c r="I194" s="54" t="n"/>
      <c r="J194" s="39">
        <f>IF($A194="","",IF($E194="Informational","GREEN",IF($G194="",IF($E194="Mandatory","RED","YELLOW"),IF($N194="Exact",IF(UPPER(TRIM($G194&amp;""))=UPPER(TRIM($F194&amp;"")),"GREEN",$P194),IF(NOT(ISNUMBER($G194)),$P194,IF($N194="Min",IF($G194&gt;=$F194,"GREEN",IF($G194&gt;=$F194-$O194,"YELLOW",$P194)),IF($N194="Max",IF($G194&lt;=$F194,"GREEN",IF($G194&lt;=$F194+$O194,"YELLOW",$P194)),IF($N194="Range",IF(ABS($G194-$F194)&lt;=$O194,"GREEN",$P194),"CHECK RULE"))))))))</f>
        <v/>
      </c>
      <c r="K194" s="39">
        <f>IF($A194="","",IF($H194="Non-Compliant","RED",IF(AND(OR($H194="Alternative Offer",$H194="Partially Compliant"),$J194="GREEN"),"YELLOW",IF(AND($J194="GREEN",ISNUMBER($R194),$R194&lt;Baseline!$B$9),"YELLOW",$J194))))</f>
        <v/>
      </c>
      <c r="L194" s="39">
        <f>IF($A194="","",IF($K194="GREEN","GREEN",IF(COUNTIFS(Exceptions!$B$5:$B$104,$A194,Exceptions!$C$5:$C$104,$B194,Exceptions!$D$5:$D$104,$C194,Exceptions!$G$5:$G$104,"Accepted",Exceptions!$H$5:$H$104,"&lt;&gt;")&gt;0,"CLEARED",$K194)))</f>
        <v/>
      </c>
      <c r="M194" s="39">
        <f>IF($A194="","",IF($H194="","Declaration missing",IF($H194="Not Stated","Not stated in quotation",IF(AND(ISNUMBER($R194),$R194&lt;Baseline!$B$9),"Low AI confidence - verify",IF(AND($H194="Fully Compliant",$J194&lt;&gt;"GREEN"),"Declared Fully - evidence differs","")))))</f>
        <v/>
      </c>
      <c r="N194" s="58">
        <f>IF($A194="","",IFERROR(INDEX(Baseline!$D$20:$D$49,MATCH($C194,Baseline!$A$20:$A$49,0)),""))</f>
        <v/>
      </c>
      <c r="O194" s="58">
        <f>IF($A194="","",IFERROR(INDEX(Baseline!$F$20:$F$49,MATCH($C194,Baseline!$A$20:$A$49,0)),0))</f>
        <v/>
      </c>
      <c r="P194" s="58">
        <f>IF($A194="","",IFERROR(INDEX(Baseline!$G$20:$G$49,MATCH($C194,Baseline!$A$20:$A$49,0)),"RED"))</f>
        <v/>
      </c>
      <c r="Q194" s="58">
        <f>IF($A194="","",$A194&amp;"|"&amp;$B194&amp;"|"&amp;$C194)</f>
        <v/>
      </c>
      <c r="R194" s="59" t="n"/>
      <c r="S194" s="60" t="n"/>
    </row>
    <row r="195" ht="15" customHeight="1" s="34">
      <c r="A195" s="54" t="n"/>
      <c r="B195" s="54" t="n"/>
      <c r="C195" s="54" t="n"/>
      <c r="D195" s="55">
        <f>IF($A195="","",IFERROR(INDEX(Baseline!$B$20:$B$49,MATCH($C195,Baseline!$A$20:$A$49,0)),"Line not in baseline"))</f>
        <v/>
      </c>
      <c r="E195" s="55">
        <f>IF($A195="","",IFERROR(INDEX(Baseline!$C$20:$C$49,MATCH($C195,Baseline!$A$20:$A$49,0)),""))</f>
        <v/>
      </c>
      <c r="F195" s="56">
        <f>IF($A195="","",IFERROR(INDEX(Baseline!$E$20:$E$49,MATCH($C195,Baseline!$A$20:$A$49,0)),""))</f>
        <v/>
      </c>
      <c r="G195" s="57" t="n"/>
      <c r="H195" s="54" t="n"/>
      <c r="I195" s="54" t="n"/>
      <c r="J195" s="39">
        <f>IF($A195="","",IF($E195="Informational","GREEN",IF($G195="",IF($E195="Mandatory","RED","YELLOW"),IF($N195="Exact",IF(UPPER(TRIM($G195&amp;""))=UPPER(TRIM($F195&amp;"")),"GREEN",$P195),IF(NOT(ISNUMBER($G195)),$P195,IF($N195="Min",IF($G195&gt;=$F195,"GREEN",IF($G195&gt;=$F195-$O195,"YELLOW",$P195)),IF($N195="Max",IF($G195&lt;=$F195,"GREEN",IF($G195&lt;=$F195+$O195,"YELLOW",$P195)),IF($N195="Range",IF(ABS($G195-$F195)&lt;=$O195,"GREEN",$P195),"CHECK RULE"))))))))</f>
        <v/>
      </c>
      <c r="K195" s="39">
        <f>IF($A195="","",IF($H195="Non-Compliant","RED",IF(AND(OR($H195="Alternative Offer",$H195="Partially Compliant"),$J195="GREEN"),"YELLOW",IF(AND($J195="GREEN",ISNUMBER($R195),$R195&lt;Baseline!$B$9),"YELLOW",$J195))))</f>
        <v/>
      </c>
      <c r="L195" s="39">
        <f>IF($A195="","",IF($K195="GREEN","GREEN",IF(COUNTIFS(Exceptions!$B$5:$B$104,$A195,Exceptions!$C$5:$C$104,$B195,Exceptions!$D$5:$D$104,$C195,Exceptions!$G$5:$G$104,"Accepted",Exceptions!$H$5:$H$104,"&lt;&gt;")&gt;0,"CLEARED",$K195)))</f>
        <v/>
      </c>
      <c r="M195" s="39">
        <f>IF($A195="","",IF($H195="","Declaration missing",IF($H195="Not Stated","Not stated in quotation",IF(AND(ISNUMBER($R195),$R195&lt;Baseline!$B$9),"Low AI confidence - verify",IF(AND($H195="Fully Compliant",$J195&lt;&gt;"GREEN"),"Declared Fully - evidence differs","")))))</f>
        <v/>
      </c>
      <c r="N195" s="58">
        <f>IF($A195="","",IFERROR(INDEX(Baseline!$D$20:$D$49,MATCH($C195,Baseline!$A$20:$A$49,0)),""))</f>
        <v/>
      </c>
      <c r="O195" s="58">
        <f>IF($A195="","",IFERROR(INDEX(Baseline!$F$20:$F$49,MATCH($C195,Baseline!$A$20:$A$49,0)),0))</f>
        <v/>
      </c>
      <c r="P195" s="58">
        <f>IF($A195="","",IFERROR(INDEX(Baseline!$G$20:$G$49,MATCH($C195,Baseline!$A$20:$A$49,0)),"RED"))</f>
        <v/>
      </c>
      <c r="Q195" s="58">
        <f>IF($A195="","",$A195&amp;"|"&amp;$B195&amp;"|"&amp;$C195)</f>
        <v/>
      </c>
      <c r="R195" s="59" t="n"/>
      <c r="S195" s="60" t="n"/>
    </row>
    <row r="196" ht="15" customHeight="1" s="34">
      <c r="A196" s="54" t="n"/>
      <c r="B196" s="54" t="n"/>
      <c r="C196" s="54" t="n"/>
      <c r="D196" s="55">
        <f>IF($A196="","",IFERROR(INDEX(Baseline!$B$20:$B$49,MATCH($C196,Baseline!$A$20:$A$49,0)),"Line not in baseline"))</f>
        <v/>
      </c>
      <c r="E196" s="55">
        <f>IF($A196="","",IFERROR(INDEX(Baseline!$C$20:$C$49,MATCH($C196,Baseline!$A$20:$A$49,0)),""))</f>
        <v/>
      </c>
      <c r="F196" s="56">
        <f>IF($A196="","",IFERROR(INDEX(Baseline!$E$20:$E$49,MATCH($C196,Baseline!$A$20:$A$49,0)),""))</f>
        <v/>
      </c>
      <c r="G196" s="57" t="n"/>
      <c r="H196" s="54" t="n"/>
      <c r="I196" s="54" t="n"/>
      <c r="J196" s="39">
        <f>IF($A196="","",IF($E196="Informational","GREEN",IF($G196="",IF($E196="Mandatory","RED","YELLOW"),IF($N196="Exact",IF(UPPER(TRIM($G196&amp;""))=UPPER(TRIM($F196&amp;"")),"GREEN",$P196),IF(NOT(ISNUMBER($G196)),$P196,IF($N196="Min",IF($G196&gt;=$F196,"GREEN",IF($G196&gt;=$F196-$O196,"YELLOW",$P196)),IF($N196="Max",IF($G196&lt;=$F196,"GREEN",IF($G196&lt;=$F196+$O196,"YELLOW",$P196)),IF($N196="Range",IF(ABS($G196-$F196)&lt;=$O196,"GREEN",$P196),"CHECK RULE"))))))))</f>
        <v/>
      </c>
      <c r="K196" s="39">
        <f>IF($A196="","",IF($H196="Non-Compliant","RED",IF(AND(OR($H196="Alternative Offer",$H196="Partially Compliant"),$J196="GREEN"),"YELLOW",IF(AND($J196="GREEN",ISNUMBER($R196),$R196&lt;Baseline!$B$9),"YELLOW",$J196))))</f>
        <v/>
      </c>
      <c r="L196" s="39">
        <f>IF($A196="","",IF($K196="GREEN","GREEN",IF(COUNTIFS(Exceptions!$B$5:$B$104,$A196,Exceptions!$C$5:$C$104,$B196,Exceptions!$D$5:$D$104,$C196,Exceptions!$G$5:$G$104,"Accepted",Exceptions!$H$5:$H$104,"&lt;&gt;")&gt;0,"CLEARED",$K196)))</f>
        <v/>
      </c>
      <c r="M196" s="39">
        <f>IF($A196="","",IF($H196="","Declaration missing",IF($H196="Not Stated","Not stated in quotation",IF(AND(ISNUMBER($R196),$R196&lt;Baseline!$B$9),"Low AI confidence - verify",IF(AND($H196="Fully Compliant",$J196&lt;&gt;"GREEN"),"Declared Fully - evidence differs","")))))</f>
        <v/>
      </c>
      <c r="N196" s="58">
        <f>IF($A196="","",IFERROR(INDEX(Baseline!$D$20:$D$49,MATCH($C196,Baseline!$A$20:$A$49,0)),""))</f>
        <v/>
      </c>
      <c r="O196" s="58">
        <f>IF($A196="","",IFERROR(INDEX(Baseline!$F$20:$F$49,MATCH($C196,Baseline!$A$20:$A$49,0)),0))</f>
        <v/>
      </c>
      <c r="P196" s="58">
        <f>IF($A196="","",IFERROR(INDEX(Baseline!$G$20:$G$49,MATCH($C196,Baseline!$A$20:$A$49,0)),"RED"))</f>
        <v/>
      </c>
      <c r="Q196" s="58">
        <f>IF($A196="","",$A196&amp;"|"&amp;$B196&amp;"|"&amp;$C196)</f>
        <v/>
      </c>
      <c r="R196" s="59" t="n"/>
      <c r="S196" s="60" t="n"/>
    </row>
    <row r="197" ht="15" customHeight="1" s="34">
      <c r="A197" s="54" t="n"/>
      <c r="B197" s="54" t="n"/>
      <c r="C197" s="54" t="n"/>
      <c r="D197" s="55">
        <f>IF($A197="","",IFERROR(INDEX(Baseline!$B$20:$B$49,MATCH($C197,Baseline!$A$20:$A$49,0)),"Line not in baseline"))</f>
        <v/>
      </c>
      <c r="E197" s="55">
        <f>IF($A197="","",IFERROR(INDEX(Baseline!$C$20:$C$49,MATCH($C197,Baseline!$A$20:$A$49,0)),""))</f>
        <v/>
      </c>
      <c r="F197" s="56">
        <f>IF($A197="","",IFERROR(INDEX(Baseline!$E$20:$E$49,MATCH($C197,Baseline!$A$20:$A$49,0)),""))</f>
        <v/>
      </c>
      <c r="G197" s="57" t="n"/>
      <c r="H197" s="54" t="n"/>
      <c r="I197" s="54" t="n"/>
      <c r="J197" s="39">
        <f>IF($A197="","",IF($E197="Informational","GREEN",IF($G197="",IF($E197="Mandatory","RED","YELLOW"),IF($N197="Exact",IF(UPPER(TRIM($G197&amp;""))=UPPER(TRIM($F197&amp;"")),"GREEN",$P197),IF(NOT(ISNUMBER($G197)),$P197,IF($N197="Min",IF($G197&gt;=$F197,"GREEN",IF($G197&gt;=$F197-$O197,"YELLOW",$P197)),IF($N197="Max",IF($G197&lt;=$F197,"GREEN",IF($G197&lt;=$F197+$O197,"YELLOW",$P197)),IF($N197="Range",IF(ABS($G197-$F197)&lt;=$O197,"GREEN",$P197),"CHECK RULE"))))))))</f>
        <v/>
      </c>
      <c r="K197" s="39">
        <f>IF($A197="","",IF($H197="Non-Compliant","RED",IF(AND(OR($H197="Alternative Offer",$H197="Partially Compliant"),$J197="GREEN"),"YELLOW",IF(AND($J197="GREEN",ISNUMBER($R197),$R197&lt;Baseline!$B$9),"YELLOW",$J197))))</f>
        <v/>
      </c>
      <c r="L197" s="39">
        <f>IF($A197="","",IF($K197="GREEN","GREEN",IF(COUNTIFS(Exceptions!$B$5:$B$104,$A197,Exceptions!$C$5:$C$104,$B197,Exceptions!$D$5:$D$104,$C197,Exceptions!$G$5:$G$104,"Accepted",Exceptions!$H$5:$H$104,"&lt;&gt;")&gt;0,"CLEARED",$K197)))</f>
        <v/>
      </c>
      <c r="M197" s="39">
        <f>IF($A197="","",IF($H197="","Declaration missing",IF($H197="Not Stated","Not stated in quotation",IF(AND(ISNUMBER($R197),$R197&lt;Baseline!$B$9),"Low AI confidence - verify",IF(AND($H197="Fully Compliant",$J197&lt;&gt;"GREEN"),"Declared Fully - evidence differs","")))))</f>
        <v/>
      </c>
      <c r="N197" s="58">
        <f>IF($A197="","",IFERROR(INDEX(Baseline!$D$20:$D$49,MATCH($C197,Baseline!$A$20:$A$49,0)),""))</f>
        <v/>
      </c>
      <c r="O197" s="58">
        <f>IF($A197="","",IFERROR(INDEX(Baseline!$F$20:$F$49,MATCH($C197,Baseline!$A$20:$A$49,0)),0))</f>
        <v/>
      </c>
      <c r="P197" s="58">
        <f>IF($A197="","",IFERROR(INDEX(Baseline!$G$20:$G$49,MATCH($C197,Baseline!$A$20:$A$49,0)),"RED"))</f>
        <v/>
      </c>
      <c r="Q197" s="58">
        <f>IF($A197="","",$A197&amp;"|"&amp;$B197&amp;"|"&amp;$C197)</f>
        <v/>
      </c>
      <c r="R197" s="59" t="n"/>
      <c r="S197" s="60" t="n"/>
    </row>
    <row r="198" ht="15" customHeight="1" s="34">
      <c r="A198" s="54" t="n"/>
      <c r="B198" s="54" t="n"/>
      <c r="C198" s="54" t="n"/>
      <c r="D198" s="55">
        <f>IF($A198="","",IFERROR(INDEX(Baseline!$B$20:$B$49,MATCH($C198,Baseline!$A$20:$A$49,0)),"Line not in baseline"))</f>
        <v/>
      </c>
      <c r="E198" s="55">
        <f>IF($A198="","",IFERROR(INDEX(Baseline!$C$20:$C$49,MATCH($C198,Baseline!$A$20:$A$49,0)),""))</f>
        <v/>
      </c>
      <c r="F198" s="56">
        <f>IF($A198="","",IFERROR(INDEX(Baseline!$E$20:$E$49,MATCH($C198,Baseline!$A$20:$A$49,0)),""))</f>
        <v/>
      </c>
      <c r="G198" s="57" t="n"/>
      <c r="H198" s="54" t="n"/>
      <c r="I198" s="54" t="n"/>
      <c r="J198" s="39">
        <f>IF($A198="","",IF($E198="Informational","GREEN",IF($G198="",IF($E198="Mandatory","RED","YELLOW"),IF($N198="Exact",IF(UPPER(TRIM($G198&amp;""))=UPPER(TRIM($F198&amp;"")),"GREEN",$P198),IF(NOT(ISNUMBER($G198)),$P198,IF($N198="Min",IF($G198&gt;=$F198,"GREEN",IF($G198&gt;=$F198-$O198,"YELLOW",$P198)),IF($N198="Max",IF($G198&lt;=$F198,"GREEN",IF($G198&lt;=$F198+$O198,"YELLOW",$P198)),IF($N198="Range",IF(ABS($G198-$F198)&lt;=$O198,"GREEN",$P198),"CHECK RULE"))))))))</f>
        <v/>
      </c>
      <c r="K198" s="39">
        <f>IF($A198="","",IF($H198="Non-Compliant","RED",IF(AND(OR($H198="Alternative Offer",$H198="Partially Compliant"),$J198="GREEN"),"YELLOW",IF(AND($J198="GREEN",ISNUMBER($R198),$R198&lt;Baseline!$B$9),"YELLOW",$J198))))</f>
        <v/>
      </c>
      <c r="L198" s="39">
        <f>IF($A198="","",IF($K198="GREEN","GREEN",IF(COUNTIFS(Exceptions!$B$5:$B$104,$A198,Exceptions!$C$5:$C$104,$B198,Exceptions!$D$5:$D$104,$C198,Exceptions!$G$5:$G$104,"Accepted",Exceptions!$H$5:$H$104,"&lt;&gt;")&gt;0,"CLEARED",$K198)))</f>
        <v/>
      </c>
      <c r="M198" s="39">
        <f>IF($A198="","",IF($H198="","Declaration missing",IF($H198="Not Stated","Not stated in quotation",IF(AND(ISNUMBER($R198),$R198&lt;Baseline!$B$9),"Low AI confidence - verify",IF(AND($H198="Fully Compliant",$J198&lt;&gt;"GREEN"),"Declared Fully - evidence differs","")))))</f>
        <v/>
      </c>
      <c r="N198" s="58">
        <f>IF($A198="","",IFERROR(INDEX(Baseline!$D$20:$D$49,MATCH($C198,Baseline!$A$20:$A$49,0)),""))</f>
        <v/>
      </c>
      <c r="O198" s="58">
        <f>IF($A198="","",IFERROR(INDEX(Baseline!$F$20:$F$49,MATCH($C198,Baseline!$A$20:$A$49,0)),0))</f>
        <v/>
      </c>
      <c r="P198" s="58">
        <f>IF($A198="","",IFERROR(INDEX(Baseline!$G$20:$G$49,MATCH($C198,Baseline!$A$20:$A$49,0)),"RED"))</f>
        <v/>
      </c>
      <c r="Q198" s="58">
        <f>IF($A198="","",$A198&amp;"|"&amp;$B198&amp;"|"&amp;$C198)</f>
        <v/>
      </c>
      <c r="R198" s="59" t="n"/>
      <c r="S198" s="60" t="n"/>
    </row>
    <row r="199" ht="15" customHeight="1" s="34">
      <c r="A199" s="54" t="n"/>
      <c r="B199" s="54" t="n"/>
      <c r="C199" s="54" t="n"/>
      <c r="D199" s="55">
        <f>IF($A199="","",IFERROR(INDEX(Baseline!$B$20:$B$49,MATCH($C199,Baseline!$A$20:$A$49,0)),"Line not in baseline"))</f>
        <v/>
      </c>
      <c r="E199" s="55">
        <f>IF($A199="","",IFERROR(INDEX(Baseline!$C$20:$C$49,MATCH($C199,Baseline!$A$20:$A$49,0)),""))</f>
        <v/>
      </c>
      <c r="F199" s="56">
        <f>IF($A199="","",IFERROR(INDEX(Baseline!$E$20:$E$49,MATCH($C199,Baseline!$A$20:$A$49,0)),""))</f>
        <v/>
      </c>
      <c r="G199" s="57" t="n"/>
      <c r="H199" s="54" t="n"/>
      <c r="I199" s="54" t="n"/>
      <c r="J199" s="39">
        <f>IF($A199="","",IF($E199="Informational","GREEN",IF($G199="",IF($E199="Mandatory","RED","YELLOW"),IF($N199="Exact",IF(UPPER(TRIM($G199&amp;""))=UPPER(TRIM($F199&amp;"")),"GREEN",$P199),IF(NOT(ISNUMBER($G199)),$P199,IF($N199="Min",IF($G199&gt;=$F199,"GREEN",IF($G199&gt;=$F199-$O199,"YELLOW",$P199)),IF($N199="Max",IF($G199&lt;=$F199,"GREEN",IF($G199&lt;=$F199+$O199,"YELLOW",$P199)),IF($N199="Range",IF(ABS($G199-$F199)&lt;=$O199,"GREEN",$P199),"CHECK RULE"))))))))</f>
        <v/>
      </c>
      <c r="K199" s="39">
        <f>IF($A199="","",IF($H199="Non-Compliant","RED",IF(AND(OR($H199="Alternative Offer",$H199="Partially Compliant"),$J199="GREEN"),"YELLOW",IF(AND($J199="GREEN",ISNUMBER($R199),$R199&lt;Baseline!$B$9),"YELLOW",$J199))))</f>
        <v/>
      </c>
      <c r="L199" s="39">
        <f>IF($A199="","",IF($K199="GREEN","GREEN",IF(COUNTIFS(Exceptions!$B$5:$B$104,$A199,Exceptions!$C$5:$C$104,$B199,Exceptions!$D$5:$D$104,$C199,Exceptions!$G$5:$G$104,"Accepted",Exceptions!$H$5:$H$104,"&lt;&gt;")&gt;0,"CLEARED",$K199)))</f>
        <v/>
      </c>
      <c r="M199" s="39">
        <f>IF($A199="","",IF($H199="","Declaration missing",IF($H199="Not Stated","Not stated in quotation",IF(AND(ISNUMBER($R199),$R199&lt;Baseline!$B$9),"Low AI confidence - verify",IF(AND($H199="Fully Compliant",$J199&lt;&gt;"GREEN"),"Declared Fully - evidence differs","")))))</f>
        <v/>
      </c>
      <c r="N199" s="58">
        <f>IF($A199="","",IFERROR(INDEX(Baseline!$D$20:$D$49,MATCH($C199,Baseline!$A$20:$A$49,0)),""))</f>
        <v/>
      </c>
      <c r="O199" s="58">
        <f>IF($A199="","",IFERROR(INDEX(Baseline!$F$20:$F$49,MATCH($C199,Baseline!$A$20:$A$49,0)),0))</f>
        <v/>
      </c>
      <c r="P199" s="58">
        <f>IF($A199="","",IFERROR(INDEX(Baseline!$G$20:$G$49,MATCH($C199,Baseline!$A$20:$A$49,0)),"RED"))</f>
        <v/>
      </c>
      <c r="Q199" s="58">
        <f>IF($A199="","",$A199&amp;"|"&amp;$B199&amp;"|"&amp;$C199)</f>
        <v/>
      </c>
      <c r="R199" s="59" t="n"/>
      <c r="S199" s="60" t="n"/>
    </row>
    <row r="200" ht="15" customHeight="1" s="34">
      <c r="A200" s="54" t="n"/>
      <c r="B200" s="54" t="n"/>
      <c r="C200" s="54" t="n"/>
      <c r="D200" s="55">
        <f>IF($A200="","",IFERROR(INDEX(Baseline!$B$20:$B$49,MATCH($C200,Baseline!$A$20:$A$49,0)),"Line not in baseline"))</f>
        <v/>
      </c>
      <c r="E200" s="55">
        <f>IF($A200="","",IFERROR(INDEX(Baseline!$C$20:$C$49,MATCH($C200,Baseline!$A$20:$A$49,0)),""))</f>
        <v/>
      </c>
      <c r="F200" s="56">
        <f>IF($A200="","",IFERROR(INDEX(Baseline!$E$20:$E$49,MATCH($C200,Baseline!$A$20:$A$49,0)),""))</f>
        <v/>
      </c>
      <c r="G200" s="57" t="n"/>
      <c r="H200" s="54" t="n"/>
      <c r="I200" s="54" t="n"/>
      <c r="J200" s="39">
        <f>IF($A200="","",IF($E200="Informational","GREEN",IF($G200="",IF($E200="Mandatory","RED","YELLOW"),IF($N200="Exact",IF(UPPER(TRIM($G200&amp;""))=UPPER(TRIM($F200&amp;"")),"GREEN",$P200),IF(NOT(ISNUMBER($G200)),$P200,IF($N200="Min",IF($G200&gt;=$F200,"GREEN",IF($G200&gt;=$F200-$O200,"YELLOW",$P200)),IF($N200="Max",IF($G200&lt;=$F200,"GREEN",IF($G200&lt;=$F200+$O200,"YELLOW",$P200)),IF($N200="Range",IF(ABS($G200-$F200)&lt;=$O200,"GREEN",$P200),"CHECK RULE"))))))))</f>
        <v/>
      </c>
      <c r="K200" s="39">
        <f>IF($A200="","",IF($H200="Non-Compliant","RED",IF(AND(OR($H200="Alternative Offer",$H200="Partially Compliant"),$J200="GREEN"),"YELLOW",IF(AND($J200="GREEN",ISNUMBER($R200),$R200&lt;Baseline!$B$9),"YELLOW",$J200))))</f>
        <v/>
      </c>
      <c r="L200" s="39">
        <f>IF($A200="","",IF($K200="GREEN","GREEN",IF(COUNTIFS(Exceptions!$B$5:$B$104,$A200,Exceptions!$C$5:$C$104,$B200,Exceptions!$D$5:$D$104,$C200,Exceptions!$G$5:$G$104,"Accepted",Exceptions!$H$5:$H$104,"&lt;&gt;")&gt;0,"CLEARED",$K200)))</f>
        <v/>
      </c>
      <c r="M200" s="39">
        <f>IF($A200="","",IF($H200="","Declaration missing",IF($H200="Not Stated","Not stated in quotation",IF(AND(ISNUMBER($R200),$R200&lt;Baseline!$B$9),"Low AI confidence - verify",IF(AND($H200="Fully Compliant",$J200&lt;&gt;"GREEN"),"Declared Fully - evidence differs","")))))</f>
        <v/>
      </c>
      <c r="N200" s="58">
        <f>IF($A200="","",IFERROR(INDEX(Baseline!$D$20:$D$49,MATCH($C200,Baseline!$A$20:$A$49,0)),""))</f>
        <v/>
      </c>
      <c r="O200" s="58">
        <f>IF($A200="","",IFERROR(INDEX(Baseline!$F$20:$F$49,MATCH($C200,Baseline!$A$20:$A$49,0)),0))</f>
        <v/>
      </c>
      <c r="P200" s="58">
        <f>IF($A200="","",IFERROR(INDEX(Baseline!$G$20:$G$49,MATCH($C200,Baseline!$A$20:$A$49,0)),"RED"))</f>
        <v/>
      </c>
      <c r="Q200" s="58">
        <f>IF($A200="","",$A200&amp;"|"&amp;$B200&amp;"|"&amp;$C200)</f>
        <v/>
      </c>
      <c r="R200" s="59" t="n"/>
      <c r="S200" s="60" t="n"/>
    </row>
    <row r="201" ht="15" customHeight="1" s="34">
      <c r="A201" s="54" t="n"/>
      <c r="B201" s="54" t="n"/>
      <c r="C201" s="54" t="n"/>
      <c r="D201" s="55">
        <f>IF($A201="","",IFERROR(INDEX(Baseline!$B$20:$B$49,MATCH($C201,Baseline!$A$20:$A$49,0)),"Line not in baseline"))</f>
        <v/>
      </c>
      <c r="E201" s="55">
        <f>IF($A201="","",IFERROR(INDEX(Baseline!$C$20:$C$49,MATCH($C201,Baseline!$A$20:$A$49,0)),""))</f>
        <v/>
      </c>
      <c r="F201" s="56">
        <f>IF($A201="","",IFERROR(INDEX(Baseline!$E$20:$E$49,MATCH($C201,Baseline!$A$20:$A$49,0)),""))</f>
        <v/>
      </c>
      <c r="G201" s="57" t="n"/>
      <c r="H201" s="54" t="n"/>
      <c r="I201" s="54" t="n"/>
      <c r="J201" s="39">
        <f>IF($A201="","",IF($E201="Informational","GREEN",IF($G201="",IF($E201="Mandatory","RED","YELLOW"),IF($N201="Exact",IF(UPPER(TRIM($G201&amp;""))=UPPER(TRIM($F201&amp;"")),"GREEN",$P201),IF(NOT(ISNUMBER($G201)),$P201,IF($N201="Min",IF($G201&gt;=$F201,"GREEN",IF($G201&gt;=$F201-$O201,"YELLOW",$P201)),IF($N201="Max",IF($G201&lt;=$F201,"GREEN",IF($G201&lt;=$F201+$O201,"YELLOW",$P201)),IF($N201="Range",IF(ABS($G201-$F201)&lt;=$O201,"GREEN",$P201),"CHECK RULE"))))))))</f>
        <v/>
      </c>
      <c r="K201" s="39">
        <f>IF($A201="","",IF($H201="Non-Compliant","RED",IF(AND(OR($H201="Alternative Offer",$H201="Partially Compliant"),$J201="GREEN"),"YELLOW",IF(AND($J201="GREEN",ISNUMBER($R201),$R201&lt;Baseline!$B$9),"YELLOW",$J201))))</f>
        <v/>
      </c>
      <c r="L201" s="39">
        <f>IF($A201="","",IF($K201="GREEN","GREEN",IF(COUNTIFS(Exceptions!$B$5:$B$104,$A201,Exceptions!$C$5:$C$104,$B201,Exceptions!$D$5:$D$104,$C201,Exceptions!$G$5:$G$104,"Accepted",Exceptions!$H$5:$H$104,"&lt;&gt;")&gt;0,"CLEARED",$K201)))</f>
        <v/>
      </c>
      <c r="M201" s="39">
        <f>IF($A201="","",IF($H201="","Declaration missing",IF($H201="Not Stated","Not stated in quotation",IF(AND(ISNUMBER($R201),$R201&lt;Baseline!$B$9),"Low AI confidence - verify",IF(AND($H201="Fully Compliant",$J201&lt;&gt;"GREEN"),"Declared Fully - evidence differs","")))))</f>
        <v/>
      </c>
      <c r="N201" s="58">
        <f>IF($A201="","",IFERROR(INDEX(Baseline!$D$20:$D$49,MATCH($C201,Baseline!$A$20:$A$49,0)),""))</f>
        <v/>
      </c>
      <c r="O201" s="58">
        <f>IF($A201="","",IFERROR(INDEX(Baseline!$F$20:$F$49,MATCH($C201,Baseline!$A$20:$A$49,0)),0))</f>
        <v/>
      </c>
      <c r="P201" s="58">
        <f>IF($A201="","",IFERROR(INDEX(Baseline!$G$20:$G$49,MATCH($C201,Baseline!$A$20:$A$49,0)),"RED"))</f>
        <v/>
      </c>
      <c r="Q201" s="58">
        <f>IF($A201="","",$A201&amp;"|"&amp;$B201&amp;"|"&amp;$C201)</f>
        <v/>
      </c>
      <c r="R201" s="59" t="n"/>
      <c r="S201" s="60" t="n"/>
    </row>
    <row r="202" ht="15" customHeight="1" s="34">
      <c r="A202" s="54" t="n"/>
      <c r="B202" s="54" t="n"/>
      <c r="C202" s="54" t="n"/>
      <c r="D202" s="55">
        <f>IF($A202="","",IFERROR(INDEX(Baseline!$B$20:$B$49,MATCH($C202,Baseline!$A$20:$A$49,0)),"Line not in baseline"))</f>
        <v/>
      </c>
      <c r="E202" s="55">
        <f>IF($A202="","",IFERROR(INDEX(Baseline!$C$20:$C$49,MATCH($C202,Baseline!$A$20:$A$49,0)),""))</f>
        <v/>
      </c>
      <c r="F202" s="56">
        <f>IF($A202="","",IFERROR(INDEX(Baseline!$E$20:$E$49,MATCH($C202,Baseline!$A$20:$A$49,0)),""))</f>
        <v/>
      </c>
      <c r="G202" s="57" t="n"/>
      <c r="H202" s="54" t="n"/>
      <c r="I202" s="54" t="n"/>
      <c r="J202" s="39">
        <f>IF($A202="","",IF($E202="Informational","GREEN",IF($G202="",IF($E202="Mandatory","RED","YELLOW"),IF($N202="Exact",IF(UPPER(TRIM($G202&amp;""))=UPPER(TRIM($F202&amp;"")),"GREEN",$P202),IF(NOT(ISNUMBER($G202)),$P202,IF($N202="Min",IF($G202&gt;=$F202,"GREEN",IF($G202&gt;=$F202-$O202,"YELLOW",$P202)),IF($N202="Max",IF($G202&lt;=$F202,"GREEN",IF($G202&lt;=$F202+$O202,"YELLOW",$P202)),IF($N202="Range",IF(ABS($G202-$F202)&lt;=$O202,"GREEN",$P202),"CHECK RULE"))))))))</f>
        <v/>
      </c>
      <c r="K202" s="39">
        <f>IF($A202="","",IF($H202="Non-Compliant","RED",IF(AND(OR($H202="Alternative Offer",$H202="Partially Compliant"),$J202="GREEN"),"YELLOW",IF(AND($J202="GREEN",ISNUMBER($R202),$R202&lt;Baseline!$B$9),"YELLOW",$J202))))</f>
        <v/>
      </c>
      <c r="L202" s="39">
        <f>IF($A202="","",IF($K202="GREEN","GREEN",IF(COUNTIFS(Exceptions!$B$5:$B$104,$A202,Exceptions!$C$5:$C$104,$B202,Exceptions!$D$5:$D$104,$C202,Exceptions!$G$5:$G$104,"Accepted",Exceptions!$H$5:$H$104,"&lt;&gt;")&gt;0,"CLEARED",$K202)))</f>
        <v/>
      </c>
      <c r="M202" s="39">
        <f>IF($A202="","",IF($H202="","Declaration missing",IF($H202="Not Stated","Not stated in quotation",IF(AND(ISNUMBER($R202),$R202&lt;Baseline!$B$9),"Low AI confidence - verify",IF(AND($H202="Fully Compliant",$J202&lt;&gt;"GREEN"),"Declared Fully - evidence differs","")))))</f>
        <v/>
      </c>
      <c r="N202" s="58">
        <f>IF($A202="","",IFERROR(INDEX(Baseline!$D$20:$D$49,MATCH($C202,Baseline!$A$20:$A$49,0)),""))</f>
        <v/>
      </c>
      <c r="O202" s="58">
        <f>IF($A202="","",IFERROR(INDEX(Baseline!$F$20:$F$49,MATCH($C202,Baseline!$A$20:$A$49,0)),0))</f>
        <v/>
      </c>
      <c r="P202" s="58">
        <f>IF($A202="","",IFERROR(INDEX(Baseline!$G$20:$G$49,MATCH($C202,Baseline!$A$20:$A$49,0)),"RED"))</f>
        <v/>
      </c>
      <c r="Q202" s="58">
        <f>IF($A202="","",$A202&amp;"|"&amp;$B202&amp;"|"&amp;$C202)</f>
        <v/>
      </c>
      <c r="R202" s="59" t="n"/>
      <c r="S202" s="60" t="n"/>
    </row>
    <row r="203" ht="15" customHeight="1" s="34">
      <c r="A203" s="54" t="n"/>
      <c r="B203" s="54" t="n"/>
      <c r="C203" s="54" t="n"/>
      <c r="D203" s="55">
        <f>IF($A203="","",IFERROR(INDEX(Baseline!$B$20:$B$49,MATCH($C203,Baseline!$A$20:$A$49,0)),"Line not in baseline"))</f>
        <v/>
      </c>
      <c r="E203" s="55">
        <f>IF($A203="","",IFERROR(INDEX(Baseline!$C$20:$C$49,MATCH($C203,Baseline!$A$20:$A$49,0)),""))</f>
        <v/>
      </c>
      <c r="F203" s="56">
        <f>IF($A203="","",IFERROR(INDEX(Baseline!$E$20:$E$49,MATCH($C203,Baseline!$A$20:$A$49,0)),""))</f>
        <v/>
      </c>
      <c r="G203" s="57" t="n"/>
      <c r="H203" s="54" t="n"/>
      <c r="I203" s="54" t="n"/>
      <c r="J203" s="39">
        <f>IF($A203="","",IF($E203="Informational","GREEN",IF($G203="",IF($E203="Mandatory","RED","YELLOW"),IF($N203="Exact",IF(UPPER(TRIM($G203&amp;""))=UPPER(TRIM($F203&amp;"")),"GREEN",$P203),IF(NOT(ISNUMBER($G203)),$P203,IF($N203="Min",IF($G203&gt;=$F203,"GREEN",IF($G203&gt;=$F203-$O203,"YELLOW",$P203)),IF($N203="Max",IF($G203&lt;=$F203,"GREEN",IF($G203&lt;=$F203+$O203,"YELLOW",$P203)),IF($N203="Range",IF(ABS($G203-$F203)&lt;=$O203,"GREEN",$P203),"CHECK RULE"))))))))</f>
        <v/>
      </c>
      <c r="K203" s="39">
        <f>IF($A203="","",IF($H203="Non-Compliant","RED",IF(AND(OR($H203="Alternative Offer",$H203="Partially Compliant"),$J203="GREEN"),"YELLOW",IF(AND($J203="GREEN",ISNUMBER($R203),$R203&lt;Baseline!$B$9),"YELLOW",$J203))))</f>
        <v/>
      </c>
      <c r="L203" s="39">
        <f>IF($A203="","",IF($K203="GREEN","GREEN",IF(COUNTIFS(Exceptions!$B$5:$B$104,$A203,Exceptions!$C$5:$C$104,$B203,Exceptions!$D$5:$D$104,$C203,Exceptions!$G$5:$G$104,"Accepted",Exceptions!$H$5:$H$104,"&lt;&gt;")&gt;0,"CLEARED",$K203)))</f>
        <v/>
      </c>
      <c r="M203" s="39">
        <f>IF($A203="","",IF($H203="","Declaration missing",IF($H203="Not Stated","Not stated in quotation",IF(AND(ISNUMBER($R203),$R203&lt;Baseline!$B$9),"Low AI confidence - verify",IF(AND($H203="Fully Compliant",$J203&lt;&gt;"GREEN"),"Declared Fully - evidence differs","")))))</f>
        <v/>
      </c>
      <c r="N203" s="58">
        <f>IF($A203="","",IFERROR(INDEX(Baseline!$D$20:$D$49,MATCH($C203,Baseline!$A$20:$A$49,0)),""))</f>
        <v/>
      </c>
      <c r="O203" s="58">
        <f>IF($A203="","",IFERROR(INDEX(Baseline!$F$20:$F$49,MATCH($C203,Baseline!$A$20:$A$49,0)),0))</f>
        <v/>
      </c>
      <c r="P203" s="58">
        <f>IF($A203="","",IFERROR(INDEX(Baseline!$G$20:$G$49,MATCH($C203,Baseline!$A$20:$A$49,0)),"RED"))</f>
        <v/>
      </c>
      <c r="Q203" s="58">
        <f>IF($A203="","",$A203&amp;"|"&amp;$B203&amp;"|"&amp;$C203)</f>
        <v/>
      </c>
      <c r="R203" s="59" t="n"/>
      <c r="S203" s="60" t="n"/>
    </row>
    <row r="204" ht="15" customHeight="1" s="34">
      <c r="A204" s="54" t="n"/>
      <c r="B204" s="54" t="n"/>
      <c r="C204" s="54" t="n"/>
      <c r="D204" s="55">
        <f>IF($A204="","",IFERROR(INDEX(Baseline!$B$20:$B$49,MATCH($C204,Baseline!$A$20:$A$49,0)),"Line not in baseline"))</f>
        <v/>
      </c>
      <c r="E204" s="55">
        <f>IF($A204="","",IFERROR(INDEX(Baseline!$C$20:$C$49,MATCH($C204,Baseline!$A$20:$A$49,0)),""))</f>
        <v/>
      </c>
      <c r="F204" s="56">
        <f>IF($A204="","",IFERROR(INDEX(Baseline!$E$20:$E$49,MATCH($C204,Baseline!$A$20:$A$49,0)),""))</f>
        <v/>
      </c>
      <c r="G204" s="57" t="n"/>
      <c r="H204" s="54" t="n"/>
      <c r="I204" s="54" t="n"/>
      <c r="J204" s="39">
        <f>IF($A204="","",IF($E204="Informational","GREEN",IF($G204="",IF($E204="Mandatory","RED","YELLOW"),IF($N204="Exact",IF(UPPER(TRIM($G204&amp;""))=UPPER(TRIM($F204&amp;"")),"GREEN",$P204),IF(NOT(ISNUMBER($G204)),$P204,IF($N204="Min",IF($G204&gt;=$F204,"GREEN",IF($G204&gt;=$F204-$O204,"YELLOW",$P204)),IF($N204="Max",IF($G204&lt;=$F204,"GREEN",IF($G204&lt;=$F204+$O204,"YELLOW",$P204)),IF($N204="Range",IF(ABS($G204-$F204)&lt;=$O204,"GREEN",$P204),"CHECK RULE"))))))))</f>
        <v/>
      </c>
      <c r="K204" s="39">
        <f>IF($A204="","",IF($H204="Non-Compliant","RED",IF(AND(OR($H204="Alternative Offer",$H204="Partially Compliant"),$J204="GREEN"),"YELLOW",IF(AND($J204="GREEN",ISNUMBER($R204),$R204&lt;Baseline!$B$9),"YELLOW",$J204))))</f>
        <v/>
      </c>
      <c r="L204" s="39">
        <f>IF($A204="","",IF($K204="GREEN","GREEN",IF(COUNTIFS(Exceptions!$B$5:$B$104,$A204,Exceptions!$C$5:$C$104,$B204,Exceptions!$D$5:$D$104,$C204,Exceptions!$G$5:$G$104,"Accepted",Exceptions!$H$5:$H$104,"&lt;&gt;")&gt;0,"CLEARED",$K204)))</f>
        <v/>
      </c>
      <c r="M204" s="39">
        <f>IF($A204="","",IF($H204="","Declaration missing",IF($H204="Not Stated","Not stated in quotation",IF(AND(ISNUMBER($R204),$R204&lt;Baseline!$B$9),"Low AI confidence - verify",IF(AND($H204="Fully Compliant",$J204&lt;&gt;"GREEN"),"Declared Fully - evidence differs","")))))</f>
        <v/>
      </c>
      <c r="N204" s="58">
        <f>IF($A204="","",IFERROR(INDEX(Baseline!$D$20:$D$49,MATCH($C204,Baseline!$A$20:$A$49,0)),""))</f>
        <v/>
      </c>
      <c r="O204" s="58">
        <f>IF($A204="","",IFERROR(INDEX(Baseline!$F$20:$F$49,MATCH($C204,Baseline!$A$20:$A$49,0)),0))</f>
        <v/>
      </c>
      <c r="P204" s="58">
        <f>IF($A204="","",IFERROR(INDEX(Baseline!$G$20:$G$49,MATCH($C204,Baseline!$A$20:$A$49,0)),"RED"))</f>
        <v/>
      </c>
      <c r="Q204" s="58">
        <f>IF($A204="","",$A204&amp;"|"&amp;$B204&amp;"|"&amp;$C204)</f>
        <v/>
      </c>
      <c r="R204" s="59" t="n"/>
      <c r="S204" s="60" t="n"/>
    </row>
    <row r="205" ht="15" customHeight="1" s="34">
      <c r="A205" s="54" t="n"/>
      <c r="B205" s="54" t="n"/>
      <c r="C205" s="54" t="n"/>
      <c r="D205" s="55">
        <f>IF($A205="","",IFERROR(INDEX(Baseline!$B$20:$B$49,MATCH($C205,Baseline!$A$20:$A$49,0)),"Line not in baseline"))</f>
        <v/>
      </c>
      <c r="E205" s="55">
        <f>IF($A205="","",IFERROR(INDEX(Baseline!$C$20:$C$49,MATCH($C205,Baseline!$A$20:$A$49,0)),""))</f>
        <v/>
      </c>
      <c r="F205" s="56">
        <f>IF($A205="","",IFERROR(INDEX(Baseline!$E$20:$E$49,MATCH($C205,Baseline!$A$20:$A$49,0)),""))</f>
        <v/>
      </c>
      <c r="G205" s="57" t="n"/>
      <c r="H205" s="54" t="n"/>
      <c r="I205" s="54" t="n"/>
      <c r="J205" s="39">
        <f>IF($A205="","",IF($E205="Informational","GREEN",IF($G205="",IF($E205="Mandatory","RED","YELLOW"),IF($N205="Exact",IF(UPPER(TRIM($G205&amp;""))=UPPER(TRIM($F205&amp;"")),"GREEN",$P205),IF(NOT(ISNUMBER($G205)),$P205,IF($N205="Min",IF($G205&gt;=$F205,"GREEN",IF($G205&gt;=$F205-$O205,"YELLOW",$P205)),IF($N205="Max",IF($G205&lt;=$F205,"GREEN",IF($G205&lt;=$F205+$O205,"YELLOW",$P205)),IF($N205="Range",IF(ABS($G205-$F205)&lt;=$O205,"GREEN",$P205),"CHECK RULE"))))))))</f>
        <v/>
      </c>
      <c r="K205" s="39">
        <f>IF($A205="","",IF($H205="Non-Compliant","RED",IF(AND(OR($H205="Alternative Offer",$H205="Partially Compliant"),$J205="GREEN"),"YELLOW",IF(AND($J205="GREEN",ISNUMBER($R205),$R205&lt;Baseline!$B$9),"YELLOW",$J205))))</f>
        <v/>
      </c>
      <c r="L205" s="39">
        <f>IF($A205="","",IF($K205="GREEN","GREEN",IF(COUNTIFS(Exceptions!$B$5:$B$104,$A205,Exceptions!$C$5:$C$104,$B205,Exceptions!$D$5:$D$104,$C205,Exceptions!$G$5:$G$104,"Accepted",Exceptions!$H$5:$H$104,"&lt;&gt;")&gt;0,"CLEARED",$K205)))</f>
        <v/>
      </c>
      <c r="M205" s="39">
        <f>IF($A205="","",IF($H205="","Declaration missing",IF($H205="Not Stated","Not stated in quotation",IF(AND(ISNUMBER($R205),$R205&lt;Baseline!$B$9),"Low AI confidence - verify",IF(AND($H205="Fully Compliant",$J205&lt;&gt;"GREEN"),"Declared Fully - evidence differs","")))))</f>
        <v/>
      </c>
      <c r="N205" s="58">
        <f>IF($A205="","",IFERROR(INDEX(Baseline!$D$20:$D$49,MATCH($C205,Baseline!$A$20:$A$49,0)),""))</f>
        <v/>
      </c>
      <c r="O205" s="58">
        <f>IF($A205="","",IFERROR(INDEX(Baseline!$F$20:$F$49,MATCH($C205,Baseline!$A$20:$A$49,0)),0))</f>
        <v/>
      </c>
      <c r="P205" s="58">
        <f>IF($A205="","",IFERROR(INDEX(Baseline!$G$20:$G$49,MATCH($C205,Baseline!$A$20:$A$49,0)),"RED"))</f>
        <v/>
      </c>
      <c r="Q205" s="58">
        <f>IF($A205="","",$A205&amp;"|"&amp;$B205&amp;"|"&amp;$C205)</f>
        <v/>
      </c>
      <c r="R205" s="59" t="n"/>
      <c r="S205" s="60" t="n"/>
    </row>
    <row r="206" ht="15" customHeight="1" s="34">
      <c r="A206" s="54" t="n"/>
      <c r="B206" s="54" t="n"/>
      <c r="C206" s="54" t="n"/>
      <c r="D206" s="55">
        <f>IF($A206="","",IFERROR(INDEX(Baseline!$B$20:$B$49,MATCH($C206,Baseline!$A$20:$A$49,0)),"Line not in baseline"))</f>
        <v/>
      </c>
      <c r="E206" s="55">
        <f>IF($A206="","",IFERROR(INDEX(Baseline!$C$20:$C$49,MATCH($C206,Baseline!$A$20:$A$49,0)),""))</f>
        <v/>
      </c>
      <c r="F206" s="56">
        <f>IF($A206="","",IFERROR(INDEX(Baseline!$E$20:$E$49,MATCH($C206,Baseline!$A$20:$A$49,0)),""))</f>
        <v/>
      </c>
      <c r="G206" s="57" t="n"/>
      <c r="H206" s="54" t="n"/>
      <c r="I206" s="54" t="n"/>
      <c r="J206" s="39">
        <f>IF($A206="","",IF($E206="Informational","GREEN",IF($G206="",IF($E206="Mandatory","RED","YELLOW"),IF($N206="Exact",IF(UPPER(TRIM($G206&amp;""))=UPPER(TRIM($F206&amp;"")),"GREEN",$P206),IF(NOT(ISNUMBER($G206)),$P206,IF($N206="Min",IF($G206&gt;=$F206,"GREEN",IF($G206&gt;=$F206-$O206,"YELLOW",$P206)),IF($N206="Max",IF($G206&lt;=$F206,"GREEN",IF($G206&lt;=$F206+$O206,"YELLOW",$P206)),IF($N206="Range",IF(ABS($G206-$F206)&lt;=$O206,"GREEN",$P206),"CHECK RULE"))))))))</f>
        <v/>
      </c>
      <c r="K206" s="39">
        <f>IF($A206="","",IF($H206="Non-Compliant","RED",IF(AND(OR($H206="Alternative Offer",$H206="Partially Compliant"),$J206="GREEN"),"YELLOW",IF(AND($J206="GREEN",ISNUMBER($R206),$R206&lt;Baseline!$B$9),"YELLOW",$J206))))</f>
        <v/>
      </c>
      <c r="L206" s="39">
        <f>IF($A206="","",IF($K206="GREEN","GREEN",IF(COUNTIFS(Exceptions!$B$5:$B$104,$A206,Exceptions!$C$5:$C$104,$B206,Exceptions!$D$5:$D$104,$C206,Exceptions!$G$5:$G$104,"Accepted",Exceptions!$H$5:$H$104,"&lt;&gt;")&gt;0,"CLEARED",$K206)))</f>
        <v/>
      </c>
      <c r="M206" s="39">
        <f>IF($A206="","",IF($H206="","Declaration missing",IF($H206="Not Stated","Not stated in quotation",IF(AND(ISNUMBER($R206),$R206&lt;Baseline!$B$9),"Low AI confidence - verify",IF(AND($H206="Fully Compliant",$J206&lt;&gt;"GREEN"),"Declared Fully - evidence differs","")))))</f>
        <v/>
      </c>
      <c r="N206" s="58">
        <f>IF($A206="","",IFERROR(INDEX(Baseline!$D$20:$D$49,MATCH($C206,Baseline!$A$20:$A$49,0)),""))</f>
        <v/>
      </c>
      <c r="O206" s="58">
        <f>IF($A206="","",IFERROR(INDEX(Baseline!$F$20:$F$49,MATCH($C206,Baseline!$A$20:$A$49,0)),0))</f>
        <v/>
      </c>
      <c r="P206" s="58">
        <f>IF($A206="","",IFERROR(INDEX(Baseline!$G$20:$G$49,MATCH($C206,Baseline!$A$20:$A$49,0)),"RED"))</f>
        <v/>
      </c>
      <c r="Q206" s="58">
        <f>IF($A206="","",$A206&amp;"|"&amp;$B206&amp;"|"&amp;$C206)</f>
        <v/>
      </c>
      <c r="R206" s="59" t="n"/>
      <c r="S206" s="60" t="n"/>
    </row>
    <row r="207" ht="15" customHeight="1" s="34">
      <c r="A207" s="54" t="n"/>
      <c r="B207" s="54" t="n"/>
      <c r="C207" s="54" t="n"/>
      <c r="D207" s="55">
        <f>IF($A207="","",IFERROR(INDEX(Baseline!$B$20:$B$49,MATCH($C207,Baseline!$A$20:$A$49,0)),"Line not in baseline"))</f>
        <v/>
      </c>
      <c r="E207" s="55">
        <f>IF($A207="","",IFERROR(INDEX(Baseline!$C$20:$C$49,MATCH($C207,Baseline!$A$20:$A$49,0)),""))</f>
        <v/>
      </c>
      <c r="F207" s="56">
        <f>IF($A207="","",IFERROR(INDEX(Baseline!$E$20:$E$49,MATCH($C207,Baseline!$A$20:$A$49,0)),""))</f>
        <v/>
      </c>
      <c r="G207" s="57" t="n"/>
      <c r="H207" s="54" t="n"/>
      <c r="I207" s="54" t="n"/>
      <c r="J207" s="39">
        <f>IF($A207="","",IF($E207="Informational","GREEN",IF($G207="",IF($E207="Mandatory","RED","YELLOW"),IF($N207="Exact",IF(UPPER(TRIM($G207&amp;""))=UPPER(TRIM($F207&amp;"")),"GREEN",$P207),IF(NOT(ISNUMBER($G207)),$P207,IF($N207="Min",IF($G207&gt;=$F207,"GREEN",IF($G207&gt;=$F207-$O207,"YELLOW",$P207)),IF($N207="Max",IF($G207&lt;=$F207,"GREEN",IF($G207&lt;=$F207+$O207,"YELLOW",$P207)),IF($N207="Range",IF(ABS($G207-$F207)&lt;=$O207,"GREEN",$P207),"CHECK RULE"))))))))</f>
        <v/>
      </c>
      <c r="K207" s="39">
        <f>IF($A207="","",IF($H207="Non-Compliant","RED",IF(AND(OR($H207="Alternative Offer",$H207="Partially Compliant"),$J207="GREEN"),"YELLOW",IF(AND($J207="GREEN",ISNUMBER($R207),$R207&lt;Baseline!$B$9),"YELLOW",$J207))))</f>
        <v/>
      </c>
      <c r="L207" s="39">
        <f>IF($A207="","",IF($K207="GREEN","GREEN",IF(COUNTIFS(Exceptions!$B$5:$B$104,$A207,Exceptions!$C$5:$C$104,$B207,Exceptions!$D$5:$D$104,$C207,Exceptions!$G$5:$G$104,"Accepted",Exceptions!$H$5:$H$104,"&lt;&gt;")&gt;0,"CLEARED",$K207)))</f>
        <v/>
      </c>
      <c r="M207" s="39">
        <f>IF($A207="","",IF($H207="","Declaration missing",IF($H207="Not Stated","Not stated in quotation",IF(AND(ISNUMBER($R207),$R207&lt;Baseline!$B$9),"Low AI confidence - verify",IF(AND($H207="Fully Compliant",$J207&lt;&gt;"GREEN"),"Declared Fully - evidence differs","")))))</f>
        <v/>
      </c>
      <c r="N207" s="58">
        <f>IF($A207="","",IFERROR(INDEX(Baseline!$D$20:$D$49,MATCH($C207,Baseline!$A$20:$A$49,0)),""))</f>
        <v/>
      </c>
      <c r="O207" s="58">
        <f>IF($A207="","",IFERROR(INDEX(Baseline!$F$20:$F$49,MATCH($C207,Baseline!$A$20:$A$49,0)),0))</f>
        <v/>
      </c>
      <c r="P207" s="58">
        <f>IF($A207="","",IFERROR(INDEX(Baseline!$G$20:$G$49,MATCH($C207,Baseline!$A$20:$A$49,0)),"RED"))</f>
        <v/>
      </c>
      <c r="Q207" s="58">
        <f>IF($A207="","",$A207&amp;"|"&amp;$B207&amp;"|"&amp;$C207)</f>
        <v/>
      </c>
      <c r="R207" s="59" t="n"/>
      <c r="S207" s="60" t="n"/>
    </row>
    <row r="208" ht="15" customHeight="1" s="34">
      <c r="A208" s="54" t="n"/>
      <c r="B208" s="54" t="n"/>
      <c r="C208" s="54" t="n"/>
      <c r="D208" s="55">
        <f>IF($A208="","",IFERROR(INDEX(Baseline!$B$20:$B$49,MATCH($C208,Baseline!$A$20:$A$49,0)),"Line not in baseline"))</f>
        <v/>
      </c>
      <c r="E208" s="55">
        <f>IF($A208="","",IFERROR(INDEX(Baseline!$C$20:$C$49,MATCH($C208,Baseline!$A$20:$A$49,0)),""))</f>
        <v/>
      </c>
      <c r="F208" s="56">
        <f>IF($A208="","",IFERROR(INDEX(Baseline!$E$20:$E$49,MATCH($C208,Baseline!$A$20:$A$49,0)),""))</f>
        <v/>
      </c>
      <c r="G208" s="57" t="n"/>
      <c r="H208" s="54" t="n"/>
      <c r="I208" s="54" t="n"/>
      <c r="J208" s="39">
        <f>IF($A208="","",IF($E208="Informational","GREEN",IF($G208="",IF($E208="Mandatory","RED","YELLOW"),IF($N208="Exact",IF(UPPER(TRIM($G208&amp;""))=UPPER(TRIM($F208&amp;"")),"GREEN",$P208),IF(NOT(ISNUMBER($G208)),$P208,IF($N208="Min",IF($G208&gt;=$F208,"GREEN",IF($G208&gt;=$F208-$O208,"YELLOW",$P208)),IF($N208="Max",IF($G208&lt;=$F208,"GREEN",IF($G208&lt;=$F208+$O208,"YELLOW",$P208)),IF($N208="Range",IF(ABS($G208-$F208)&lt;=$O208,"GREEN",$P208),"CHECK RULE"))))))))</f>
        <v/>
      </c>
      <c r="K208" s="39">
        <f>IF($A208="","",IF($H208="Non-Compliant","RED",IF(AND(OR($H208="Alternative Offer",$H208="Partially Compliant"),$J208="GREEN"),"YELLOW",IF(AND($J208="GREEN",ISNUMBER($R208),$R208&lt;Baseline!$B$9),"YELLOW",$J208))))</f>
        <v/>
      </c>
      <c r="L208" s="39">
        <f>IF($A208="","",IF($K208="GREEN","GREEN",IF(COUNTIFS(Exceptions!$B$5:$B$104,$A208,Exceptions!$C$5:$C$104,$B208,Exceptions!$D$5:$D$104,$C208,Exceptions!$G$5:$G$104,"Accepted",Exceptions!$H$5:$H$104,"&lt;&gt;")&gt;0,"CLEARED",$K208)))</f>
        <v/>
      </c>
      <c r="M208" s="39">
        <f>IF($A208="","",IF($H208="","Declaration missing",IF($H208="Not Stated","Not stated in quotation",IF(AND(ISNUMBER($R208),$R208&lt;Baseline!$B$9),"Low AI confidence - verify",IF(AND($H208="Fully Compliant",$J208&lt;&gt;"GREEN"),"Declared Fully - evidence differs","")))))</f>
        <v/>
      </c>
      <c r="N208" s="58">
        <f>IF($A208="","",IFERROR(INDEX(Baseline!$D$20:$D$49,MATCH($C208,Baseline!$A$20:$A$49,0)),""))</f>
        <v/>
      </c>
      <c r="O208" s="58">
        <f>IF($A208="","",IFERROR(INDEX(Baseline!$F$20:$F$49,MATCH($C208,Baseline!$A$20:$A$49,0)),0))</f>
        <v/>
      </c>
      <c r="P208" s="58">
        <f>IF($A208="","",IFERROR(INDEX(Baseline!$G$20:$G$49,MATCH($C208,Baseline!$A$20:$A$49,0)),"RED"))</f>
        <v/>
      </c>
      <c r="Q208" s="58">
        <f>IF($A208="","",$A208&amp;"|"&amp;$B208&amp;"|"&amp;$C208)</f>
        <v/>
      </c>
      <c r="R208" s="59" t="n"/>
      <c r="S208" s="60" t="n"/>
    </row>
    <row r="209" ht="15" customHeight="1" s="34">
      <c r="A209" s="54" t="n"/>
      <c r="B209" s="54" t="n"/>
      <c r="C209" s="54" t="n"/>
      <c r="D209" s="55">
        <f>IF($A209="","",IFERROR(INDEX(Baseline!$B$20:$B$49,MATCH($C209,Baseline!$A$20:$A$49,0)),"Line not in baseline"))</f>
        <v/>
      </c>
      <c r="E209" s="55">
        <f>IF($A209="","",IFERROR(INDEX(Baseline!$C$20:$C$49,MATCH($C209,Baseline!$A$20:$A$49,0)),""))</f>
        <v/>
      </c>
      <c r="F209" s="56">
        <f>IF($A209="","",IFERROR(INDEX(Baseline!$E$20:$E$49,MATCH($C209,Baseline!$A$20:$A$49,0)),""))</f>
        <v/>
      </c>
      <c r="G209" s="57" t="n"/>
      <c r="H209" s="54" t="n"/>
      <c r="I209" s="54" t="n"/>
      <c r="J209" s="39">
        <f>IF($A209="","",IF($E209="Informational","GREEN",IF($G209="",IF($E209="Mandatory","RED","YELLOW"),IF($N209="Exact",IF(UPPER(TRIM($G209&amp;""))=UPPER(TRIM($F209&amp;"")),"GREEN",$P209),IF(NOT(ISNUMBER($G209)),$P209,IF($N209="Min",IF($G209&gt;=$F209,"GREEN",IF($G209&gt;=$F209-$O209,"YELLOW",$P209)),IF($N209="Max",IF($G209&lt;=$F209,"GREEN",IF($G209&lt;=$F209+$O209,"YELLOW",$P209)),IF($N209="Range",IF(ABS($G209-$F209)&lt;=$O209,"GREEN",$P209),"CHECK RULE"))))))))</f>
        <v/>
      </c>
      <c r="K209" s="39">
        <f>IF($A209="","",IF($H209="Non-Compliant","RED",IF(AND(OR($H209="Alternative Offer",$H209="Partially Compliant"),$J209="GREEN"),"YELLOW",IF(AND($J209="GREEN",ISNUMBER($R209),$R209&lt;Baseline!$B$9),"YELLOW",$J209))))</f>
        <v/>
      </c>
      <c r="L209" s="39">
        <f>IF($A209="","",IF($K209="GREEN","GREEN",IF(COUNTIFS(Exceptions!$B$5:$B$104,$A209,Exceptions!$C$5:$C$104,$B209,Exceptions!$D$5:$D$104,$C209,Exceptions!$G$5:$G$104,"Accepted",Exceptions!$H$5:$H$104,"&lt;&gt;")&gt;0,"CLEARED",$K209)))</f>
        <v/>
      </c>
      <c r="M209" s="39">
        <f>IF($A209="","",IF($H209="","Declaration missing",IF($H209="Not Stated","Not stated in quotation",IF(AND(ISNUMBER($R209),$R209&lt;Baseline!$B$9),"Low AI confidence - verify",IF(AND($H209="Fully Compliant",$J209&lt;&gt;"GREEN"),"Declared Fully - evidence differs","")))))</f>
        <v/>
      </c>
      <c r="N209" s="58">
        <f>IF($A209="","",IFERROR(INDEX(Baseline!$D$20:$D$49,MATCH($C209,Baseline!$A$20:$A$49,0)),""))</f>
        <v/>
      </c>
      <c r="O209" s="58">
        <f>IF($A209="","",IFERROR(INDEX(Baseline!$F$20:$F$49,MATCH($C209,Baseline!$A$20:$A$49,0)),0))</f>
        <v/>
      </c>
      <c r="P209" s="58">
        <f>IF($A209="","",IFERROR(INDEX(Baseline!$G$20:$G$49,MATCH($C209,Baseline!$A$20:$A$49,0)),"RED"))</f>
        <v/>
      </c>
      <c r="Q209" s="58">
        <f>IF($A209="","",$A209&amp;"|"&amp;$B209&amp;"|"&amp;$C209)</f>
        <v/>
      </c>
      <c r="R209" s="59" t="n"/>
      <c r="S209" s="60" t="n"/>
    </row>
    <row r="210" ht="15" customHeight="1" s="34">
      <c r="A210" s="54" t="n"/>
      <c r="B210" s="54" t="n"/>
      <c r="C210" s="54" t="n"/>
      <c r="D210" s="55">
        <f>IF($A210="","",IFERROR(INDEX(Baseline!$B$20:$B$49,MATCH($C210,Baseline!$A$20:$A$49,0)),"Line not in baseline"))</f>
        <v/>
      </c>
      <c r="E210" s="55">
        <f>IF($A210="","",IFERROR(INDEX(Baseline!$C$20:$C$49,MATCH($C210,Baseline!$A$20:$A$49,0)),""))</f>
        <v/>
      </c>
      <c r="F210" s="56">
        <f>IF($A210="","",IFERROR(INDEX(Baseline!$E$20:$E$49,MATCH($C210,Baseline!$A$20:$A$49,0)),""))</f>
        <v/>
      </c>
      <c r="G210" s="57" t="n"/>
      <c r="H210" s="54" t="n"/>
      <c r="I210" s="54" t="n"/>
      <c r="J210" s="39">
        <f>IF($A210="","",IF($E210="Informational","GREEN",IF($G210="",IF($E210="Mandatory","RED","YELLOW"),IF($N210="Exact",IF(UPPER(TRIM($G210&amp;""))=UPPER(TRIM($F210&amp;"")),"GREEN",$P210),IF(NOT(ISNUMBER($G210)),$P210,IF($N210="Min",IF($G210&gt;=$F210,"GREEN",IF($G210&gt;=$F210-$O210,"YELLOW",$P210)),IF($N210="Max",IF($G210&lt;=$F210,"GREEN",IF($G210&lt;=$F210+$O210,"YELLOW",$P210)),IF($N210="Range",IF(ABS($G210-$F210)&lt;=$O210,"GREEN",$P210),"CHECK RULE"))))))))</f>
        <v/>
      </c>
      <c r="K210" s="39">
        <f>IF($A210="","",IF($H210="Non-Compliant","RED",IF(AND(OR($H210="Alternative Offer",$H210="Partially Compliant"),$J210="GREEN"),"YELLOW",IF(AND($J210="GREEN",ISNUMBER($R210),$R210&lt;Baseline!$B$9),"YELLOW",$J210))))</f>
        <v/>
      </c>
      <c r="L210" s="39">
        <f>IF($A210="","",IF($K210="GREEN","GREEN",IF(COUNTIFS(Exceptions!$B$5:$B$104,$A210,Exceptions!$C$5:$C$104,$B210,Exceptions!$D$5:$D$104,$C210,Exceptions!$G$5:$G$104,"Accepted",Exceptions!$H$5:$H$104,"&lt;&gt;")&gt;0,"CLEARED",$K210)))</f>
        <v/>
      </c>
      <c r="M210" s="39">
        <f>IF($A210="","",IF($H210="","Declaration missing",IF($H210="Not Stated","Not stated in quotation",IF(AND(ISNUMBER($R210),$R210&lt;Baseline!$B$9),"Low AI confidence - verify",IF(AND($H210="Fully Compliant",$J210&lt;&gt;"GREEN"),"Declared Fully - evidence differs","")))))</f>
        <v/>
      </c>
      <c r="N210" s="58">
        <f>IF($A210="","",IFERROR(INDEX(Baseline!$D$20:$D$49,MATCH($C210,Baseline!$A$20:$A$49,0)),""))</f>
        <v/>
      </c>
      <c r="O210" s="58">
        <f>IF($A210="","",IFERROR(INDEX(Baseline!$F$20:$F$49,MATCH($C210,Baseline!$A$20:$A$49,0)),0))</f>
        <v/>
      </c>
      <c r="P210" s="58">
        <f>IF($A210="","",IFERROR(INDEX(Baseline!$G$20:$G$49,MATCH($C210,Baseline!$A$20:$A$49,0)),"RED"))</f>
        <v/>
      </c>
      <c r="Q210" s="58">
        <f>IF($A210="","",$A210&amp;"|"&amp;$B210&amp;"|"&amp;$C210)</f>
        <v/>
      </c>
      <c r="R210" s="59" t="n"/>
      <c r="S210" s="60" t="n"/>
    </row>
    <row r="211" ht="15" customHeight="1" s="34">
      <c r="A211" s="54" t="n"/>
      <c r="B211" s="54" t="n"/>
      <c r="C211" s="54" t="n"/>
      <c r="D211" s="55">
        <f>IF($A211="","",IFERROR(INDEX(Baseline!$B$20:$B$49,MATCH($C211,Baseline!$A$20:$A$49,0)),"Line not in baseline"))</f>
        <v/>
      </c>
      <c r="E211" s="55">
        <f>IF($A211="","",IFERROR(INDEX(Baseline!$C$20:$C$49,MATCH($C211,Baseline!$A$20:$A$49,0)),""))</f>
        <v/>
      </c>
      <c r="F211" s="56">
        <f>IF($A211="","",IFERROR(INDEX(Baseline!$E$20:$E$49,MATCH($C211,Baseline!$A$20:$A$49,0)),""))</f>
        <v/>
      </c>
      <c r="G211" s="57" t="n"/>
      <c r="H211" s="54" t="n"/>
      <c r="I211" s="54" t="n"/>
      <c r="J211" s="39">
        <f>IF($A211="","",IF($E211="Informational","GREEN",IF($G211="",IF($E211="Mandatory","RED","YELLOW"),IF($N211="Exact",IF(UPPER(TRIM($G211&amp;""))=UPPER(TRIM($F211&amp;"")),"GREEN",$P211),IF(NOT(ISNUMBER($G211)),$P211,IF($N211="Min",IF($G211&gt;=$F211,"GREEN",IF($G211&gt;=$F211-$O211,"YELLOW",$P211)),IF($N211="Max",IF($G211&lt;=$F211,"GREEN",IF($G211&lt;=$F211+$O211,"YELLOW",$P211)),IF($N211="Range",IF(ABS($G211-$F211)&lt;=$O211,"GREEN",$P211),"CHECK RULE"))))))))</f>
        <v/>
      </c>
      <c r="K211" s="39">
        <f>IF($A211="","",IF($H211="Non-Compliant","RED",IF(AND(OR($H211="Alternative Offer",$H211="Partially Compliant"),$J211="GREEN"),"YELLOW",IF(AND($J211="GREEN",ISNUMBER($R211),$R211&lt;Baseline!$B$9),"YELLOW",$J211))))</f>
        <v/>
      </c>
      <c r="L211" s="39">
        <f>IF($A211="","",IF($K211="GREEN","GREEN",IF(COUNTIFS(Exceptions!$B$5:$B$104,$A211,Exceptions!$C$5:$C$104,$B211,Exceptions!$D$5:$D$104,$C211,Exceptions!$G$5:$G$104,"Accepted",Exceptions!$H$5:$H$104,"&lt;&gt;")&gt;0,"CLEARED",$K211)))</f>
        <v/>
      </c>
      <c r="M211" s="39">
        <f>IF($A211="","",IF($H211="","Declaration missing",IF($H211="Not Stated","Not stated in quotation",IF(AND(ISNUMBER($R211),$R211&lt;Baseline!$B$9),"Low AI confidence - verify",IF(AND($H211="Fully Compliant",$J211&lt;&gt;"GREEN"),"Declared Fully - evidence differs","")))))</f>
        <v/>
      </c>
      <c r="N211" s="58">
        <f>IF($A211="","",IFERROR(INDEX(Baseline!$D$20:$D$49,MATCH($C211,Baseline!$A$20:$A$49,0)),""))</f>
        <v/>
      </c>
      <c r="O211" s="58">
        <f>IF($A211="","",IFERROR(INDEX(Baseline!$F$20:$F$49,MATCH($C211,Baseline!$A$20:$A$49,0)),0))</f>
        <v/>
      </c>
      <c r="P211" s="58">
        <f>IF($A211="","",IFERROR(INDEX(Baseline!$G$20:$G$49,MATCH($C211,Baseline!$A$20:$A$49,0)),"RED"))</f>
        <v/>
      </c>
      <c r="Q211" s="58">
        <f>IF($A211="","",$A211&amp;"|"&amp;$B211&amp;"|"&amp;$C211)</f>
        <v/>
      </c>
      <c r="R211" s="59" t="n"/>
      <c r="S211" s="60" t="n"/>
    </row>
    <row r="212" ht="15" customHeight="1" s="34">
      <c r="A212" s="54" t="n"/>
      <c r="B212" s="54" t="n"/>
      <c r="C212" s="54" t="n"/>
      <c r="D212" s="55">
        <f>IF($A212="","",IFERROR(INDEX(Baseline!$B$20:$B$49,MATCH($C212,Baseline!$A$20:$A$49,0)),"Line not in baseline"))</f>
        <v/>
      </c>
      <c r="E212" s="55">
        <f>IF($A212="","",IFERROR(INDEX(Baseline!$C$20:$C$49,MATCH($C212,Baseline!$A$20:$A$49,0)),""))</f>
        <v/>
      </c>
      <c r="F212" s="56">
        <f>IF($A212="","",IFERROR(INDEX(Baseline!$E$20:$E$49,MATCH($C212,Baseline!$A$20:$A$49,0)),""))</f>
        <v/>
      </c>
      <c r="G212" s="57" t="n"/>
      <c r="H212" s="54" t="n"/>
      <c r="I212" s="54" t="n"/>
      <c r="J212" s="39">
        <f>IF($A212="","",IF($E212="Informational","GREEN",IF($G212="",IF($E212="Mandatory","RED","YELLOW"),IF($N212="Exact",IF(UPPER(TRIM($G212&amp;""))=UPPER(TRIM($F212&amp;"")),"GREEN",$P212),IF(NOT(ISNUMBER($G212)),$P212,IF($N212="Min",IF($G212&gt;=$F212,"GREEN",IF($G212&gt;=$F212-$O212,"YELLOW",$P212)),IF($N212="Max",IF($G212&lt;=$F212,"GREEN",IF($G212&lt;=$F212+$O212,"YELLOW",$P212)),IF($N212="Range",IF(ABS($G212-$F212)&lt;=$O212,"GREEN",$P212),"CHECK RULE"))))))))</f>
        <v/>
      </c>
      <c r="K212" s="39">
        <f>IF($A212="","",IF($H212="Non-Compliant","RED",IF(AND(OR($H212="Alternative Offer",$H212="Partially Compliant"),$J212="GREEN"),"YELLOW",IF(AND($J212="GREEN",ISNUMBER($R212),$R212&lt;Baseline!$B$9),"YELLOW",$J212))))</f>
        <v/>
      </c>
      <c r="L212" s="39">
        <f>IF($A212="","",IF($K212="GREEN","GREEN",IF(COUNTIFS(Exceptions!$B$5:$B$104,$A212,Exceptions!$C$5:$C$104,$B212,Exceptions!$D$5:$D$104,$C212,Exceptions!$G$5:$G$104,"Accepted",Exceptions!$H$5:$H$104,"&lt;&gt;")&gt;0,"CLEARED",$K212)))</f>
        <v/>
      </c>
      <c r="M212" s="39">
        <f>IF($A212="","",IF($H212="","Declaration missing",IF($H212="Not Stated","Not stated in quotation",IF(AND(ISNUMBER($R212),$R212&lt;Baseline!$B$9),"Low AI confidence - verify",IF(AND($H212="Fully Compliant",$J212&lt;&gt;"GREEN"),"Declared Fully - evidence differs","")))))</f>
        <v/>
      </c>
      <c r="N212" s="58">
        <f>IF($A212="","",IFERROR(INDEX(Baseline!$D$20:$D$49,MATCH($C212,Baseline!$A$20:$A$49,0)),""))</f>
        <v/>
      </c>
      <c r="O212" s="58">
        <f>IF($A212="","",IFERROR(INDEX(Baseline!$F$20:$F$49,MATCH($C212,Baseline!$A$20:$A$49,0)),0))</f>
        <v/>
      </c>
      <c r="P212" s="58">
        <f>IF($A212="","",IFERROR(INDEX(Baseline!$G$20:$G$49,MATCH($C212,Baseline!$A$20:$A$49,0)),"RED"))</f>
        <v/>
      </c>
      <c r="Q212" s="58">
        <f>IF($A212="","",$A212&amp;"|"&amp;$B212&amp;"|"&amp;$C212)</f>
        <v/>
      </c>
      <c r="R212" s="59" t="n"/>
      <c r="S212" s="60" t="n"/>
    </row>
    <row r="213" ht="15" customHeight="1" s="34">
      <c r="A213" s="54" t="n"/>
      <c r="B213" s="54" t="n"/>
      <c r="C213" s="54" t="n"/>
      <c r="D213" s="55">
        <f>IF($A213="","",IFERROR(INDEX(Baseline!$B$20:$B$49,MATCH($C213,Baseline!$A$20:$A$49,0)),"Line not in baseline"))</f>
        <v/>
      </c>
      <c r="E213" s="55">
        <f>IF($A213="","",IFERROR(INDEX(Baseline!$C$20:$C$49,MATCH($C213,Baseline!$A$20:$A$49,0)),""))</f>
        <v/>
      </c>
      <c r="F213" s="56">
        <f>IF($A213="","",IFERROR(INDEX(Baseline!$E$20:$E$49,MATCH($C213,Baseline!$A$20:$A$49,0)),""))</f>
        <v/>
      </c>
      <c r="G213" s="57" t="n"/>
      <c r="H213" s="54" t="n"/>
      <c r="I213" s="54" t="n"/>
      <c r="J213" s="39">
        <f>IF($A213="","",IF($E213="Informational","GREEN",IF($G213="",IF($E213="Mandatory","RED","YELLOW"),IF($N213="Exact",IF(UPPER(TRIM($G213&amp;""))=UPPER(TRIM($F213&amp;"")),"GREEN",$P213),IF(NOT(ISNUMBER($G213)),$P213,IF($N213="Min",IF($G213&gt;=$F213,"GREEN",IF($G213&gt;=$F213-$O213,"YELLOW",$P213)),IF($N213="Max",IF($G213&lt;=$F213,"GREEN",IF($G213&lt;=$F213+$O213,"YELLOW",$P213)),IF($N213="Range",IF(ABS($G213-$F213)&lt;=$O213,"GREEN",$P213),"CHECK RULE"))))))))</f>
        <v/>
      </c>
      <c r="K213" s="39">
        <f>IF($A213="","",IF($H213="Non-Compliant","RED",IF(AND(OR($H213="Alternative Offer",$H213="Partially Compliant"),$J213="GREEN"),"YELLOW",IF(AND($J213="GREEN",ISNUMBER($R213),$R213&lt;Baseline!$B$9),"YELLOW",$J213))))</f>
        <v/>
      </c>
      <c r="L213" s="39">
        <f>IF($A213="","",IF($K213="GREEN","GREEN",IF(COUNTIFS(Exceptions!$B$5:$B$104,$A213,Exceptions!$C$5:$C$104,$B213,Exceptions!$D$5:$D$104,$C213,Exceptions!$G$5:$G$104,"Accepted",Exceptions!$H$5:$H$104,"&lt;&gt;")&gt;0,"CLEARED",$K213)))</f>
        <v/>
      </c>
      <c r="M213" s="39">
        <f>IF($A213="","",IF($H213="","Declaration missing",IF($H213="Not Stated","Not stated in quotation",IF(AND(ISNUMBER($R213),$R213&lt;Baseline!$B$9),"Low AI confidence - verify",IF(AND($H213="Fully Compliant",$J213&lt;&gt;"GREEN"),"Declared Fully - evidence differs","")))))</f>
        <v/>
      </c>
      <c r="N213" s="58">
        <f>IF($A213="","",IFERROR(INDEX(Baseline!$D$20:$D$49,MATCH($C213,Baseline!$A$20:$A$49,0)),""))</f>
        <v/>
      </c>
      <c r="O213" s="58">
        <f>IF($A213="","",IFERROR(INDEX(Baseline!$F$20:$F$49,MATCH($C213,Baseline!$A$20:$A$49,0)),0))</f>
        <v/>
      </c>
      <c r="P213" s="58">
        <f>IF($A213="","",IFERROR(INDEX(Baseline!$G$20:$G$49,MATCH($C213,Baseline!$A$20:$A$49,0)),"RED"))</f>
        <v/>
      </c>
      <c r="Q213" s="58">
        <f>IF($A213="","",$A213&amp;"|"&amp;$B213&amp;"|"&amp;$C213)</f>
        <v/>
      </c>
      <c r="R213" s="59" t="n"/>
      <c r="S213" s="60" t="n"/>
    </row>
    <row r="214" ht="15" customHeight="1" s="34">
      <c r="A214" s="54" t="n"/>
      <c r="B214" s="54" t="n"/>
      <c r="C214" s="54" t="n"/>
      <c r="D214" s="55">
        <f>IF($A214="","",IFERROR(INDEX(Baseline!$B$20:$B$49,MATCH($C214,Baseline!$A$20:$A$49,0)),"Line not in baseline"))</f>
        <v/>
      </c>
      <c r="E214" s="55">
        <f>IF($A214="","",IFERROR(INDEX(Baseline!$C$20:$C$49,MATCH($C214,Baseline!$A$20:$A$49,0)),""))</f>
        <v/>
      </c>
      <c r="F214" s="56">
        <f>IF($A214="","",IFERROR(INDEX(Baseline!$E$20:$E$49,MATCH($C214,Baseline!$A$20:$A$49,0)),""))</f>
        <v/>
      </c>
      <c r="G214" s="57" t="n"/>
      <c r="H214" s="54" t="n"/>
      <c r="I214" s="54" t="n"/>
      <c r="J214" s="39">
        <f>IF($A214="","",IF($E214="Informational","GREEN",IF($G214="",IF($E214="Mandatory","RED","YELLOW"),IF($N214="Exact",IF(UPPER(TRIM($G214&amp;""))=UPPER(TRIM($F214&amp;"")),"GREEN",$P214),IF(NOT(ISNUMBER($G214)),$P214,IF($N214="Min",IF($G214&gt;=$F214,"GREEN",IF($G214&gt;=$F214-$O214,"YELLOW",$P214)),IF($N214="Max",IF($G214&lt;=$F214,"GREEN",IF($G214&lt;=$F214+$O214,"YELLOW",$P214)),IF($N214="Range",IF(ABS($G214-$F214)&lt;=$O214,"GREEN",$P214),"CHECK RULE"))))))))</f>
        <v/>
      </c>
      <c r="K214" s="39">
        <f>IF($A214="","",IF($H214="Non-Compliant","RED",IF(AND(OR($H214="Alternative Offer",$H214="Partially Compliant"),$J214="GREEN"),"YELLOW",IF(AND($J214="GREEN",ISNUMBER($R214),$R214&lt;Baseline!$B$9),"YELLOW",$J214))))</f>
        <v/>
      </c>
      <c r="L214" s="39">
        <f>IF($A214="","",IF($K214="GREEN","GREEN",IF(COUNTIFS(Exceptions!$B$5:$B$104,$A214,Exceptions!$C$5:$C$104,$B214,Exceptions!$D$5:$D$104,$C214,Exceptions!$G$5:$G$104,"Accepted",Exceptions!$H$5:$H$104,"&lt;&gt;")&gt;0,"CLEARED",$K214)))</f>
        <v/>
      </c>
      <c r="M214" s="39">
        <f>IF($A214="","",IF($H214="","Declaration missing",IF($H214="Not Stated","Not stated in quotation",IF(AND(ISNUMBER($R214),$R214&lt;Baseline!$B$9),"Low AI confidence - verify",IF(AND($H214="Fully Compliant",$J214&lt;&gt;"GREEN"),"Declared Fully - evidence differs","")))))</f>
        <v/>
      </c>
      <c r="N214" s="58">
        <f>IF($A214="","",IFERROR(INDEX(Baseline!$D$20:$D$49,MATCH($C214,Baseline!$A$20:$A$49,0)),""))</f>
        <v/>
      </c>
      <c r="O214" s="58">
        <f>IF($A214="","",IFERROR(INDEX(Baseline!$F$20:$F$49,MATCH($C214,Baseline!$A$20:$A$49,0)),0))</f>
        <v/>
      </c>
      <c r="P214" s="58">
        <f>IF($A214="","",IFERROR(INDEX(Baseline!$G$20:$G$49,MATCH($C214,Baseline!$A$20:$A$49,0)),"RED"))</f>
        <v/>
      </c>
      <c r="Q214" s="58">
        <f>IF($A214="","",$A214&amp;"|"&amp;$B214&amp;"|"&amp;$C214)</f>
        <v/>
      </c>
      <c r="R214" s="59" t="n"/>
      <c r="S214" s="60" t="n"/>
    </row>
    <row r="215" ht="15" customHeight="1" s="34">
      <c r="A215" s="54" t="n"/>
      <c r="B215" s="54" t="n"/>
      <c r="C215" s="54" t="n"/>
      <c r="D215" s="55">
        <f>IF($A215="","",IFERROR(INDEX(Baseline!$B$20:$B$49,MATCH($C215,Baseline!$A$20:$A$49,0)),"Line not in baseline"))</f>
        <v/>
      </c>
      <c r="E215" s="55">
        <f>IF($A215="","",IFERROR(INDEX(Baseline!$C$20:$C$49,MATCH($C215,Baseline!$A$20:$A$49,0)),""))</f>
        <v/>
      </c>
      <c r="F215" s="56">
        <f>IF($A215="","",IFERROR(INDEX(Baseline!$E$20:$E$49,MATCH($C215,Baseline!$A$20:$A$49,0)),""))</f>
        <v/>
      </c>
      <c r="G215" s="57" t="n"/>
      <c r="H215" s="54" t="n"/>
      <c r="I215" s="54" t="n"/>
      <c r="J215" s="39">
        <f>IF($A215="","",IF($E215="Informational","GREEN",IF($G215="",IF($E215="Mandatory","RED","YELLOW"),IF($N215="Exact",IF(UPPER(TRIM($G215&amp;""))=UPPER(TRIM($F215&amp;"")),"GREEN",$P215),IF(NOT(ISNUMBER($G215)),$P215,IF($N215="Min",IF($G215&gt;=$F215,"GREEN",IF($G215&gt;=$F215-$O215,"YELLOW",$P215)),IF($N215="Max",IF($G215&lt;=$F215,"GREEN",IF($G215&lt;=$F215+$O215,"YELLOW",$P215)),IF($N215="Range",IF(ABS($G215-$F215)&lt;=$O215,"GREEN",$P215),"CHECK RULE"))))))))</f>
        <v/>
      </c>
      <c r="K215" s="39">
        <f>IF($A215="","",IF($H215="Non-Compliant","RED",IF(AND(OR($H215="Alternative Offer",$H215="Partially Compliant"),$J215="GREEN"),"YELLOW",IF(AND($J215="GREEN",ISNUMBER($R215),$R215&lt;Baseline!$B$9),"YELLOW",$J215))))</f>
        <v/>
      </c>
      <c r="L215" s="39">
        <f>IF($A215="","",IF($K215="GREEN","GREEN",IF(COUNTIFS(Exceptions!$B$5:$B$104,$A215,Exceptions!$C$5:$C$104,$B215,Exceptions!$D$5:$D$104,$C215,Exceptions!$G$5:$G$104,"Accepted",Exceptions!$H$5:$H$104,"&lt;&gt;")&gt;0,"CLEARED",$K215)))</f>
        <v/>
      </c>
      <c r="M215" s="39">
        <f>IF($A215="","",IF($H215="","Declaration missing",IF($H215="Not Stated","Not stated in quotation",IF(AND(ISNUMBER($R215),$R215&lt;Baseline!$B$9),"Low AI confidence - verify",IF(AND($H215="Fully Compliant",$J215&lt;&gt;"GREEN"),"Declared Fully - evidence differs","")))))</f>
        <v/>
      </c>
      <c r="N215" s="58">
        <f>IF($A215="","",IFERROR(INDEX(Baseline!$D$20:$D$49,MATCH($C215,Baseline!$A$20:$A$49,0)),""))</f>
        <v/>
      </c>
      <c r="O215" s="58">
        <f>IF($A215="","",IFERROR(INDEX(Baseline!$F$20:$F$49,MATCH($C215,Baseline!$A$20:$A$49,0)),0))</f>
        <v/>
      </c>
      <c r="P215" s="58">
        <f>IF($A215="","",IFERROR(INDEX(Baseline!$G$20:$G$49,MATCH($C215,Baseline!$A$20:$A$49,0)),"RED"))</f>
        <v/>
      </c>
      <c r="Q215" s="58">
        <f>IF($A215="","",$A215&amp;"|"&amp;$B215&amp;"|"&amp;$C215)</f>
        <v/>
      </c>
      <c r="R215" s="59" t="n"/>
      <c r="S215" s="60" t="n"/>
    </row>
    <row r="216" ht="15" customHeight="1" s="34">
      <c r="A216" s="54" t="n"/>
      <c r="B216" s="54" t="n"/>
      <c r="C216" s="54" t="n"/>
      <c r="D216" s="55">
        <f>IF($A216="","",IFERROR(INDEX(Baseline!$B$20:$B$49,MATCH($C216,Baseline!$A$20:$A$49,0)),"Line not in baseline"))</f>
        <v/>
      </c>
      <c r="E216" s="55">
        <f>IF($A216="","",IFERROR(INDEX(Baseline!$C$20:$C$49,MATCH($C216,Baseline!$A$20:$A$49,0)),""))</f>
        <v/>
      </c>
      <c r="F216" s="56">
        <f>IF($A216="","",IFERROR(INDEX(Baseline!$E$20:$E$49,MATCH($C216,Baseline!$A$20:$A$49,0)),""))</f>
        <v/>
      </c>
      <c r="G216" s="57" t="n"/>
      <c r="H216" s="54" t="n"/>
      <c r="I216" s="54" t="n"/>
      <c r="J216" s="39">
        <f>IF($A216="","",IF($E216="Informational","GREEN",IF($G216="",IF($E216="Mandatory","RED","YELLOW"),IF($N216="Exact",IF(UPPER(TRIM($G216&amp;""))=UPPER(TRIM($F216&amp;"")),"GREEN",$P216),IF(NOT(ISNUMBER($G216)),$P216,IF($N216="Min",IF($G216&gt;=$F216,"GREEN",IF($G216&gt;=$F216-$O216,"YELLOW",$P216)),IF($N216="Max",IF($G216&lt;=$F216,"GREEN",IF($G216&lt;=$F216+$O216,"YELLOW",$P216)),IF($N216="Range",IF(ABS($G216-$F216)&lt;=$O216,"GREEN",$P216),"CHECK RULE"))))))))</f>
        <v/>
      </c>
      <c r="K216" s="39">
        <f>IF($A216="","",IF($H216="Non-Compliant","RED",IF(AND(OR($H216="Alternative Offer",$H216="Partially Compliant"),$J216="GREEN"),"YELLOW",IF(AND($J216="GREEN",ISNUMBER($R216),$R216&lt;Baseline!$B$9),"YELLOW",$J216))))</f>
        <v/>
      </c>
      <c r="L216" s="39">
        <f>IF($A216="","",IF($K216="GREEN","GREEN",IF(COUNTIFS(Exceptions!$B$5:$B$104,$A216,Exceptions!$C$5:$C$104,$B216,Exceptions!$D$5:$D$104,$C216,Exceptions!$G$5:$G$104,"Accepted",Exceptions!$H$5:$H$104,"&lt;&gt;")&gt;0,"CLEARED",$K216)))</f>
        <v/>
      </c>
      <c r="M216" s="39">
        <f>IF($A216="","",IF($H216="","Declaration missing",IF($H216="Not Stated","Not stated in quotation",IF(AND(ISNUMBER($R216),$R216&lt;Baseline!$B$9),"Low AI confidence - verify",IF(AND($H216="Fully Compliant",$J216&lt;&gt;"GREEN"),"Declared Fully - evidence differs","")))))</f>
        <v/>
      </c>
      <c r="N216" s="58">
        <f>IF($A216="","",IFERROR(INDEX(Baseline!$D$20:$D$49,MATCH($C216,Baseline!$A$20:$A$49,0)),""))</f>
        <v/>
      </c>
      <c r="O216" s="58">
        <f>IF($A216="","",IFERROR(INDEX(Baseline!$F$20:$F$49,MATCH($C216,Baseline!$A$20:$A$49,0)),0))</f>
        <v/>
      </c>
      <c r="P216" s="58">
        <f>IF($A216="","",IFERROR(INDEX(Baseline!$G$20:$G$49,MATCH($C216,Baseline!$A$20:$A$49,0)),"RED"))</f>
        <v/>
      </c>
      <c r="Q216" s="58">
        <f>IF($A216="","",$A216&amp;"|"&amp;$B216&amp;"|"&amp;$C216)</f>
        <v/>
      </c>
      <c r="R216" s="59" t="n"/>
      <c r="S216" s="60" t="n"/>
    </row>
    <row r="217" ht="15" customHeight="1" s="34">
      <c r="A217" s="54" t="n"/>
      <c r="B217" s="54" t="n"/>
      <c r="C217" s="54" t="n"/>
      <c r="D217" s="55">
        <f>IF($A217="","",IFERROR(INDEX(Baseline!$B$20:$B$49,MATCH($C217,Baseline!$A$20:$A$49,0)),"Line not in baseline"))</f>
        <v/>
      </c>
      <c r="E217" s="55">
        <f>IF($A217="","",IFERROR(INDEX(Baseline!$C$20:$C$49,MATCH($C217,Baseline!$A$20:$A$49,0)),""))</f>
        <v/>
      </c>
      <c r="F217" s="56">
        <f>IF($A217="","",IFERROR(INDEX(Baseline!$E$20:$E$49,MATCH($C217,Baseline!$A$20:$A$49,0)),""))</f>
        <v/>
      </c>
      <c r="G217" s="57" t="n"/>
      <c r="H217" s="54" t="n"/>
      <c r="I217" s="54" t="n"/>
      <c r="J217" s="39">
        <f>IF($A217="","",IF($E217="Informational","GREEN",IF($G217="",IF($E217="Mandatory","RED","YELLOW"),IF($N217="Exact",IF(UPPER(TRIM($G217&amp;""))=UPPER(TRIM($F217&amp;"")),"GREEN",$P217),IF(NOT(ISNUMBER($G217)),$P217,IF($N217="Min",IF($G217&gt;=$F217,"GREEN",IF($G217&gt;=$F217-$O217,"YELLOW",$P217)),IF($N217="Max",IF($G217&lt;=$F217,"GREEN",IF($G217&lt;=$F217+$O217,"YELLOW",$P217)),IF($N217="Range",IF(ABS($G217-$F217)&lt;=$O217,"GREEN",$P217),"CHECK RULE"))))))))</f>
        <v/>
      </c>
      <c r="K217" s="39">
        <f>IF($A217="","",IF($H217="Non-Compliant","RED",IF(AND(OR($H217="Alternative Offer",$H217="Partially Compliant"),$J217="GREEN"),"YELLOW",IF(AND($J217="GREEN",ISNUMBER($R217),$R217&lt;Baseline!$B$9),"YELLOW",$J217))))</f>
        <v/>
      </c>
      <c r="L217" s="39">
        <f>IF($A217="","",IF($K217="GREEN","GREEN",IF(COUNTIFS(Exceptions!$B$5:$B$104,$A217,Exceptions!$C$5:$C$104,$B217,Exceptions!$D$5:$D$104,$C217,Exceptions!$G$5:$G$104,"Accepted",Exceptions!$H$5:$H$104,"&lt;&gt;")&gt;0,"CLEARED",$K217)))</f>
        <v/>
      </c>
      <c r="M217" s="39">
        <f>IF($A217="","",IF($H217="","Declaration missing",IF($H217="Not Stated","Not stated in quotation",IF(AND(ISNUMBER($R217),$R217&lt;Baseline!$B$9),"Low AI confidence - verify",IF(AND($H217="Fully Compliant",$J217&lt;&gt;"GREEN"),"Declared Fully - evidence differs","")))))</f>
        <v/>
      </c>
      <c r="N217" s="58">
        <f>IF($A217="","",IFERROR(INDEX(Baseline!$D$20:$D$49,MATCH($C217,Baseline!$A$20:$A$49,0)),""))</f>
        <v/>
      </c>
      <c r="O217" s="58">
        <f>IF($A217="","",IFERROR(INDEX(Baseline!$F$20:$F$49,MATCH($C217,Baseline!$A$20:$A$49,0)),0))</f>
        <v/>
      </c>
      <c r="P217" s="58">
        <f>IF($A217="","",IFERROR(INDEX(Baseline!$G$20:$G$49,MATCH($C217,Baseline!$A$20:$A$49,0)),"RED"))</f>
        <v/>
      </c>
      <c r="Q217" s="58">
        <f>IF($A217="","",$A217&amp;"|"&amp;$B217&amp;"|"&amp;$C217)</f>
        <v/>
      </c>
      <c r="R217" s="59" t="n"/>
      <c r="S217" s="60" t="n"/>
    </row>
    <row r="218" ht="15" customHeight="1" s="34">
      <c r="A218" s="54" t="n"/>
      <c r="B218" s="54" t="n"/>
      <c r="C218" s="54" t="n"/>
      <c r="D218" s="55">
        <f>IF($A218="","",IFERROR(INDEX(Baseline!$B$20:$B$49,MATCH($C218,Baseline!$A$20:$A$49,0)),"Line not in baseline"))</f>
        <v/>
      </c>
      <c r="E218" s="55">
        <f>IF($A218="","",IFERROR(INDEX(Baseline!$C$20:$C$49,MATCH($C218,Baseline!$A$20:$A$49,0)),""))</f>
        <v/>
      </c>
      <c r="F218" s="56">
        <f>IF($A218="","",IFERROR(INDEX(Baseline!$E$20:$E$49,MATCH($C218,Baseline!$A$20:$A$49,0)),""))</f>
        <v/>
      </c>
      <c r="G218" s="57" t="n"/>
      <c r="H218" s="54" t="n"/>
      <c r="I218" s="54" t="n"/>
      <c r="J218" s="39">
        <f>IF($A218="","",IF($E218="Informational","GREEN",IF($G218="",IF($E218="Mandatory","RED","YELLOW"),IF($N218="Exact",IF(UPPER(TRIM($G218&amp;""))=UPPER(TRIM($F218&amp;"")),"GREEN",$P218),IF(NOT(ISNUMBER($G218)),$P218,IF($N218="Min",IF($G218&gt;=$F218,"GREEN",IF($G218&gt;=$F218-$O218,"YELLOW",$P218)),IF($N218="Max",IF($G218&lt;=$F218,"GREEN",IF($G218&lt;=$F218+$O218,"YELLOW",$P218)),IF($N218="Range",IF(ABS($G218-$F218)&lt;=$O218,"GREEN",$P218),"CHECK RULE"))))))))</f>
        <v/>
      </c>
      <c r="K218" s="39">
        <f>IF($A218="","",IF($H218="Non-Compliant","RED",IF(AND(OR($H218="Alternative Offer",$H218="Partially Compliant"),$J218="GREEN"),"YELLOW",IF(AND($J218="GREEN",ISNUMBER($R218),$R218&lt;Baseline!$B$9),"YELLOW",$J218))))</f>
        <v/>
      </c>
      <c r="L218" s="39">
        <f>IF($A218="","",IF($K218="GREEN","GREEN",IF(COUNTIFS(Exceptions!$B$5:$B$104,$A218,Exceptions!$C$5:$C$104,$B218,Exceptions!$D$5:$D$104,$C218,Exceptions!$G$5:$G$104,"Accepted",Exceptions!$H$5:$H$104,"&lt;&gt;")&gt;0,"CLEARED",$K218)))</f>
        <v/>
      </c>
      <c r="M218" s="39">
        <f>IF($A218="","",IF($H218="","Declaration missing",IF($H218="Not Stated","Not stated in quotation",IF(AND(ISNUMBER($R218),$R218&lt;Baseline!$B$9),"Low AI confidence - verify",IF(AND($H218="Fully Compliant",$J218&lt;&gt;"GREEN"),"Declared Fully - evidence differs","")))))</f>
        <v/>
      </c>
      <c r="N218" s="58">
        <f>IF($A218="","",IFERROR(INDEX(Baseline!$D$20:$D$49,MATCH($C218,Baseline!$A$20:$A$49,0)),""))</f>
        <v/>
      </c>
      <c r="O218" s="58">
        <f>IF($A218="","",IFERROR(INDEX(Baseline!$F$20:$F$49,MATCH($C218,Baseline!$A$20:$A$49,0)),0))</f>
        <v/>
      </c>
      <c r="P218" s="58">
        <f>IF($A218="","",IFERROR(INDEX(Baseline!$G$20:$G$49,MATCH($C218,Baseline!$A$20:$A$49,0)),"RED"))</f>
        <v/>
      </c>
      <c r="Q218" s="58">
        <f>IF($A218="","",$A218&amp;"|"&amp;$B218&amp;"|"&amp;$C218)</f>
        <v/>
      </c>
      <c r="R218" s="59" t="n"/>
      <c r="S218" s="60" t="n"/>
    </row>
    <row r="219" ht="15" customHeight="1" s="34">
      <c r="A219" s="54" t="n"/>
      <c r="B219" s="54" t="n"/>
      <c r="C219" s="54" t="n"/>
      <c r="D219" s="55">
        <f>IF($A219="","",IFERROR(INDEX(Baseline!$B$20:$B$49,MATCH($C219,Baseline!$A$20:$A$49,0)),"Line not in baseline"))</f>
        <v/>
      </c>
      <c r="E219" s="55">
        <f>IF($A219="","",IFERROR(INDEX(Baseline!$C$20:$C$49,MATCH($C219,Baseline!$A$20:$A$49,0)),""))</f>
        <v/>
      </c>
      <c r="F219" s="56">
        <f>IF($A219="","",IFERROR(INDEX(Baseline!$E$20:$E$49,MATCH($C219,Baseline!$A$20:$A$49,0)),""))</f>
        <v/>
      </c>
      <c r="G219" s="57" t="n"/>
      <c r="H219" s="54" t="n"/>
      <c r="I219" s="54" t="n"/>
      <c r="J219" s="39">
        <f>IF($A219="","",IF($E219="Informational","GREEN",IF($G219="",IF($E219="Mandatory","RED","YELLOW"),IF($N219="Exact",IF(UPPER(TRIM($G219&amp;""))=UPPER(TRIM($F219&amp;"")),"GREEN",$P219),IF(NOT(ISNUMBER($G219)),$P219,IF($N219="Min",IF($G219&gt;=$F219,"GREEN",IF($G219&gt;=$F219-$O219,"YELLOW",$P219)),IF($N219="Max",IF($G219&lt;=$F219,"GREEN",IF($G219&lt;=$F219+$O219,"YELLOW",$P219)),IF($N219="Range",IF(ABS($G219-$F219)&lt;=$O219,"GREEN",$P219),"CHECK RULE"))))))))</f>
        <v/>
      </c>
      <c r="K219" s="39">
        <f>IF($A219="","",IF($H219="Non-Compliant","RED",IF(AND(OR($H219="Alternative Offer",$H219="Partially Compliant"),$J219="GREEN"),"YELLOW",IF(AND($J219="GREEN",ISNUMBER($R219),$R219&lt;Baseline!$B$9),"YELLOW",$J219))))</f>
        <v/>
      </c>
      <c r="L219" s="39">
        <f>IF($A219="","",IF($K219="GREEN","GREEN",IF(COUNTIFS(Exceptions!$B$5:$B$104,$A219,Exceptions!$C$5:$C$104,$B219,Exceptions!$D$5:$D$104,$C219,Exceptions!$G$5:$G$104,"Accepted",Exceptions!$H$5:$H$104,"&lt;&gt;")&gt;0,"CLEARED",$K219)))</f>
        <v/>
      </c>
      <c r="M219" s="39">
        <f>IF($A219="","",IF($H219="","Declaration missing",IF($H219="Not Stated","Not stated in quotation",IF(AND(ISNUMBER($R219),$R219&lt;Baseline!$B$9),"Low AI confidence - verify",IF(AND($H219="Fully Compliant",$J219&lt;&gt;"GREEN"),"Declared Fully - evidence differs","")))))</f>
        <v/>
      </c>
      <c r="N219" s="58">
        <f>IF($A219="","",IFERROR(INDEX(Baseline!$D$20:$D$49,MATCH($C219,Baseline!$A$20:$A$49,0)),""))</f>
        <v/>
      </c>
      <c r="O219" s="58">
        <f>IF($A219="","",IFERROR(INDEX(Baseline!$F$20:$F$49,MATCH($C219,Baseline!$A$20:$A$49,0)),0))</f>
        <v/>
      </c>
      <c r="P219" s="58">
        <f>IF($A219="","",IFERROR(INDEX(Baseline!$G$20:$G$49,MATCH($C219,Baseline!$A$20:$A$49,0)),"RED"))</f>
        <v/>
      </c>
      <c r="Q219" s="58">
        <f>IF($A219="","",$A219&amp;"|"&amp;$B219&amp;"|"&amp;$C219)</f>
        <v/>
      </c>
      <c r="R219" s="59" t="n"/>
      <c r="S219" s="60" t="n"/>
    </row>
    <row r="220" ht="15" customHeight="1" s="34">
      <c r="A220" s="54" t="n"/>
      <c r="B220" s="54" t="n"/>
      <c r="C220" s="54" t="n"/>
      <c r="D220" s="55">
        <f>IF($A220="","",IFERROR(INDEX(Baseline!$B$20:$B$49,MATCH($C220,Baseline!$A$20:$A$49,0)),"Line not in baseline"))</f>
        <v/>
      </c>
      <c r="E220" s="55">
        <f>IF($A220="","",IFERROR(INDEX(Baseline!$C$20:$C$49,MATCH($C220,Baseline!$A$20:$A$49,0)),""))</f>
        <v/>
      </c>
      <c r="F220" s="56">
        <f>IF($A220="","",IFERROR(INDEX(Baseline!$E$20:$E$49,MATCH($C220,Baseline!$A$20:$A$49,0)),""))</f>
        <v/>
      </c>
      <c r="G220" s="57" t="n"/>
      <c r="H220" s="54" t="n"/>
      <c r="I220" s="54" t="n"/>
      <c r="J220" s="39">
        <f>IF($A220="","",IF($E220="Informational","GREEN",IF($G220="",IF($E220="Mandatory","RED","YELLOW"),IF($N220="Exact",IF(UPPER(TRIM($G220&amp;""))=UPPER(TRIM($F220&amp;"")),"GREEN",$P220),IF(NOT(ISNUMBER($G220)),$P220,IF($N220="Min",IF($G220&gt;=$F220,"GREEN",IF($G220&gt;=$F220-$O220,"YELLOW",$P220)),IF($N220="Max",IF($G220&lt;=$F220,"GREEN",IF($G220&lt;=$F220+$O220,"YELLOW",$P220)),IF($N220="Range",IF(ABS($G220-$F220)&lt;=$O220,"GREEN",$P220),"CHECK RULE"))))))))</f>
        <v/>
      </c>
      <c r="K220" s="39">
        <f>IF($A220="","",IF($H220="Non-Compliant","RED",IF(AND(OR($H220="Alternative Offer",$H220="Partially Compliant"),$J220="GREEN"),"YELLOW",IF(AND($J220="GREEN",ISNUMBER($R220),$R220&lt;Baseline!$B$9),"YELLOW",$J220))))</f>
        <v/>
      </c>
      <c r="L220" s="39">
        <f>IF($A220="","",IF($K220="GREEN","GREEN",IF(COUNTIFS(Exceptions!$B$5:$B$104,$A220,Exceptions!$C$5:$C$104,$B220,Exceptions!$D$5:$D$104,$C220,Exceptions!$G$5:$G$104,"Accepted",Exceptions!$H$5:$H$104,"&lt;&gt;")&gt;0,"CLEARED",$K220)))</f>
        <v/>
      </c>
      <c r="M220" s="39">
        <f>IF($A220="","",IF($H220="","Declaration missing",IF($H220="Not Stated","Not stated in quotation",IF(AND(ISNUMBER($R220),$R220&lt;Baseline!$B$9),"Low AI confidence - verify",IF(AND($H220="Fully Compliant",$J220&lt;&gt;"GREEN"),"Declared Fully - evidence differs","")))))</f>
        <v/>
      </c>
      <c r="N220" s="58">
        <f>IF($A220="","",IFERROR(INDEX(Baseline!$D$20:$D$49,MATCH($C220,Baseline!$A$20:$A$49,0)),""))</f>
        <v/>
      </c>
      <c r="O220" s="58">
        <f>IF($A220="","",IFERROR(INDEX(Baseline!$F$20:$F$49,MATCH($C220,Baseline!$A$20:$A$49,0)),0))</f>
        <v/>
      </c>
      <c r="P220" s="58">
        <f>IF($A220="","",IFERROR(INDEX(Baseline!$G$20:$G$49,MATCH($C220,Baseline!$A$20:$A$49,0)),"RED"))</f>
        <v/>
      </c>
      <c r="Q220" s="58">
        <f>IF($A220="","",$A220&amp;"|"&amp;$B220&amp;"|"&amp;$C220)</f>
        <v/>
      </c>
      <c r="R220" s="59" t="n"/>
      <c r="S220" s="60" t="n"/>
    </row>
    <row r="221" ht="15" customHeight="1" s="34">
      <c r="A221" s="54" t="n"/>
      <c r="B221" s="54" t="n"/>
      <c r="C221" s="54" t="n"/>
      <c r="D221" s="55">
        <f>IF($A221="","",IFERROR(INDEX(Baseline!$B$20:$B$49,MATCH($C221,Baseline!$A$20:$A$49,0)),"Line not in baseline"))</f>
        <v/>
      </c>
      <c r="E221" s="55">
        <f>IF($A221="","",IFERROR(INDEX(Baseline!$C$20:$C$49,MATCH($C221,Baseline!$A$20:$A$49,0)),""))</f>
        <v/>
      </c>
      <c r="F221" s="56">
        <f>IF($A221="","",IFERROR(INDEX(Baseline!$E$20:$E$49,MATCH($C221,Baseline!$A$20:$A$49,0)),""))</f>
        <v/>
      </c>
      <c r="G221" s="57" t="n"/>
      <c r="H221" s="54" t="n"/>
      <c r="I221" s="54" t="n"/>
      <c r="J221" s="39">
        <f>IF($A221="","",IF($E221="Informational","GREEN",IF($G221="",IF($E221="Mandatory","RED","YELLOW"),IF($N221="Exact",IF(UPPER(TRIM($G221&amp;""))=UPPER(TRIM($F221&amp;"")),"GREEN",$P221),IF(NOT(ISNUMBER($G221)),$P221,IF($N221="Min",IF($G221&gt;=$F221,"GREEN",IF($G221&gt;=$F221-$O221,"YELLOW",$P221)),IF($N221="Max",IF($G221&lt;=$F221,"GREEN",IF($G221&lt;=$F221+$O221,"YELLOW",$P221)),IF($N221="Range",IF(ABS($G221-$F221)&lt;=$O221,"GREEN",$P221),"CHECK RULE"))))))))</f>
        <v/>
      </c>
      <c r="K221" s="39">
        <f>IF($A221="","",IF($H221="Non-Compliant","RED",IF(AND(OR($H221="Alternative Offer",$H221="Partially Compliant"),$J221="GREEN"),"YELLOW",IF(AND($J221="GREEN",ISNUMBER($R221),$R221&lt;Baseline!$B$9),"YELLOW",$J221))))</f>
        <v/>
      </c>
      <c r="L221" s="39">
        <f>IF($A221="","",IF($K221="GREEN","GREEN",IF(COUNTIFS(Exceptions!$B$5:$B$104,$A221,Exceptions!$C$5:$C$104,$B221,Exceptions!$D$5:$D$104,$C221,Exceptions!$G$5:$G$104,"Accepted",Exceptions!$H$5:$H$104,"&lt;&gt;")&gt;0,"CLEARED",$K221)))</f>
        <v/>
      </c>
      <c r="M221" s="39">
        <f>IF($A221="","",IF($H221="","Declaration missing",IF($H221="Not Stated","Not stated in quotation",IF(AND(ISNUMBER($R221),$R221&lt;Baseline!$B$9),"Low AI confidence - verify",IF(AND($H221="Fully Compliant",$J221&lt;&gt;"GREEN"),"Declared Fully - evidence differs","")))))</f>
        <v/>
      </c>
      <c r="N221" s="58">
        <f>IF($A221="","",IFERROR(INDEX(Baseline!$D$20:$D$49,MATCH($C221,Baseline!$A$20:$A$49,0)),""))</f>
        <v/>
      </c>
      <c r="O221" s="58">
        <f>IF($A221="","",IFERROR(INDEX(Baseline!$F$20:$F$49,MATCH($C221,Baseline!$A$20:$A$49,0)),0))</f>
        <v/>
      </c>
      <c r="P221" s="58">
        <f>IF($A221="","",IFERROR(INDEX(Baseline!$G$20:$G$49,MATCH($C221,Baseline!$A$20:$A$49,0)),"RED"))</f>
        <v/>
      </c>
      <c r="Q221" s="58">
        <f>IF($A221="","",$A221&amp;"|"&amp;$B221&amp;"|"&amp;$C221)</f>
        <v/>
      </c>
      <c r="R221" s="59" t="n"/>
      <c r="S221" s="60" t="n"/>
    </row>
    <row r="222" ht="15" customHeight="1" s="34">
      <c r="A222" s="54" t="n"/>
      <c r="B222" s="54" t="n"/>
      <c r="C222" s="54" t="n"/>
      <c r="D222" s="55">
        <f>IF($A222="","",IFERROR(INDEX(Baseline!$B$20:$B$49,MATCH($C222,Baseline!$A$20:$A$49,0)),"Line not in baseline"))</f>
        <v/>
      </c>
      <c r="E222" s="55">
        <f>IF($A222="","",IFERROR(INDEX(Baseline!$C$20:$C$49,MATCH($C222,Baseline!$A$20:$A$49,0)),""))</f>
        <v/>
      </c>
      <c r="F222" s="56">
        <f>IF($A222="","",IFERROR(INDEX(Baseline!$E$20:$E$49,MATCH($C222,Baseline!$A$20:$A$49,0)),""))</f>
        <v/>
      </c>
      <c r="G222" s="57" t="n"/>
      <c r="H222" s="54" t="n"/>
      <c r="I222" s="54" t="n"/>
      <c r="J222" s="39">
        <f>IF($A222="","",IF($E222="Informational","GREEN",IF($G222="",IF($E222="Mandatory","RED","YELLOW"),IF($N222="Exact",IF(UPPER(TRIM($G222&amp;""))=UPPER(TRIM($F222&amp;"")),"GREEN",$P222),IF(NOT(ISNUMBER($G222)),$P222,IF($N222="Min",IF($G222&gt;=$F222,"GREEN",IF($G222&gt;=$F222-$O222,"YELLOW",$P222)),IF($N222="Max",IF($G222&lt;=$F222,"GREEN",IF($G222&lt;=$F222+$O222,"YELLOW",$P222)),IF($N222="Range",IF(ABS($G222-$F222)&lt;=$O222,"GREEN",$P222),"CHECK RULE"))))))))</f>
        <v/>
      </c>
      <c r="K222" s="39">
        <f>IF($A222="","",IF($H222="Non-Compliant","RED",IF(AND(OR($H222="Alternative Offer",$H222="Partially Compliant"),$J222="GREEN"),"YELLOW",IF(AND($J222="GREEN",ISNUMBER($R222),$R222&lt;Baseline!$B$9),"YELLOW",$J222))))</f>
        <v/>
      </c>
      <c r="L222" s="39">
        <f>IF($A222="","",IF($K222="GREEN","GREEN",IF(COUNTIFS(Exceptions!$B$5:$B$104,$A222,Exceptions!$C$5:$C$104,$B222,Exceptions!$D$5:$D$104,$C222,Exceptions!$G$5:$G$104,"Accepted",Exceptions!$H$5:$H$104,"&lt;&gt;")&gt;0,"CLEARED",$K222)))</f>
        <v/>
      </c>
      <c r="M222" s="39">
        <f>IF($A222="","",IF($H222="","Declaration missing",IF($H222="Not Stated","Not stated in quotation",IF(AND(ISNUMBER($R222),$R222&lt;Baseline!$B$9),"Low AI confidence - verify",IF(AND($H222="Fully Compliant",$J222&lt;&gt;"GREEN"),"Declared Fully - evidence differs","")))))</f>
        <v/>
      </c>
      <c r="N222" s="58">
        <f>IF($A222="","",IFERROR(INDEX(Baseline!$D$20:$D$49,MATCH($C222,Baseline!$A$20:$A$49,0)),""))</f>
        <v/>
      </c>
      <c r="O222" s="58">
        <f>IF($A222="","",IFERROR(INDEX(Baseline!$F$20:$F$49,MATCH($C222,Baseline!$A$20:$A$49,0)),0))</f>
        <v/>
      </c>
      <c r="P222" s="58">
        <f>IF($A222="","",IFERROR(INDEX(Baseline!$G$20:$G$49,MATCH($C222,Baseline!$A$20:$A$49,0)),"RED"))</f>
        <v/>
      </c>
      <c r="Q222" s="58">
        <f>IF($A222="","",$A222&amp;"|"&amp;$B222&amp;"|"&amp;$C222)</f>
        <v/>
      </c>
      <c r="R222" s="59" t="n"/>
      <c r="S222" s="60" t="n"/>
    </row>
    <row r="223" ht="15" customHeight="1" s="34">
      <c r="A223" s="54" t="n"/>
      <c r="B223" s="54" t="n"/>
      <c r="C223" s="54" t="n"/>
      <c r="D223" s="55">
        <f>IF($A223="","",IFERROR(INDEX(Baseline!$B$20:$B$49,MATCH($C223,Baseline!$A$20:$A$49,0)),"Line not in baseline"))</f>
        <v/>
      </c>
      <c r="E223" s="55">
        <f>IF($A223="","",IFERROR(INDEX(Baseline!$C$20:$C$49,MATCH($C223,Baseline!$A$20:$A$49,0)),""))</f>
        <v/>
      </c>
      <c r="F223" s="56">
        <f>IF($A223="","",IFERROR(INDEX(Baseline!$E$20:$E$49,MATCH($C223,Baseline!$A$20:$A$49,0)),""))</f>
        <v/>
      </c>
      <c r="G223" s="57" t="n"/>
      <c r="H223" s="54" t="n"/>
      <c r="I223" s="54" t="n"/>
      <c r="J223" s="39">
        <f>IF($A223="","",IF($E223="Informational","GREEN",IF($G223="",IF($E223="Mandatory","RED","YELLOW"),IF($N223="Exact",IF(UPPER(TRIM($G223&amp;""))=UPPER(TRIM($F223&amp;"")),"GREEN",$P223),IF(NOT(ISNUMBER($G223)),$P223,IF($N223="Min",IF($G223&gt;=$F223,"GREEN",IF($G223&gt;=$F223-$O223,"YELLOW",$P223)),IF($N223="Max",IF($G223&lt;=$F223,"GREEN",IF($G223&lt;=$F223+$O223,"YELLOW",$P223)),IF($N223="Range",IF(ABS($G223-$F223)&lt;=$O223,"GREEN",$P223),"CHECK RULE"))))))))</f>
        <v/>
      </c>
      <c r="K223" s="39">
        <f>IF($A223="","",IF($H223="Non-Compliant","RED",IF(AND(OR($H223="Alternative Offer",$H223="Partially Compliant"),$J223="GREEN"),"YELLOW",IF(AND($J223="GREEN",ISNUMBER($R223),$R223&lt;Baseline!$B$9),"YELLOW",$J223))))</f>
        <v/>
      </c>
      <c r="L223" s="39">
        <f>IF($A223="","",IF($K223="GREEN","GREEN",IF(COUNTIFS(Exceptions!$B$5:$B$104,$A223,Exceptions!$C$5:$C$104,$B223,Exceptions!$D$5:$D$104,$C223,Exceptions!$G$5:$G$104,"Accepted",Exceptions!$H$5:$H$104,"&lt;&gt;")&gt;0,"CLEARED",$K223)))</f>
        <v/>
      </c>
      <c r="M223" s="39">
        <f>IF($A223="","",IF($H223="","Declaration missing",IF($H223="Not Stated","Not stated in quotation",IF(AND(ISNUMBER($R223),$R223&lt;Baseline!$B$9),"Low AI confidence - verify",IF(AND($H223="Fully Compliant",$J223&lt;&gt;"GREEN"),"Declared Fully - evidence differs","")))))</f>
        <v/>
      </c>
      <c r="N223" s="58">
        <f>IF($A223="","",IFERROR(INDEX(Baseline!$D$20:$D$49,MATCH($C223,Baseline!$A$20:$A$49,0)),""))</f>
        <v/>
      </c>
      <c r="O223" s="58">
        <f>IF($A223="","",IFERROR(INDEX(Baseline!$F$20:$F$49,MATCH($C223,Baseline!$A$20:$A$49,0)),0))</f>
        <v/>
      </c>
      <c r="P223" s="58">
        <f>IF($A223="","",IFERROR(INDEX(Baseline!$G$20:$G$49,MATCH($C223,Baseline!$A$20:$A$49,0)),"RED"))</f>
        <v/>
      </c>
      <c r="Q223" s="58">
        <f>IF($A223="","",$A223&amp;"|"&amp;$B223&amp;"|"&amp;$C223)</f>
        <v/>
      </c>
      <c r="R223" s="59" t="n"/>
      <c r="S223" s="60" t="n"/>
    </row>
    <row r="224" ht="15" customHeight="1" s="34">
      <c r="A224" s="54" t="n"/>
      <c r="B224" s="54" t="n"/>
      <c r="C224" s="54" t="n"/>
      <c r="D224" s="55">
        <f>IF($A224="","",IFERROR(INDEX(Baseline!$B$20:$B$49,MATCH($C224,Baseline!$A$20:$A$49,0)),"Line not in baseline"))</f>
        <v/>
      </c>
      <c r="E224" s="55">
        <f>IF($A224="","",IFERROR(INDEX(Baseline!$C$20:$C$49,MATCH($C224,Baseline!$A$20:$A$49,0)),""))</f>
        <v/>
      </c>
      <c r="F224" s="56">
        <f>IF($A224="","",IFERROR(INDEX(Baseline!$E$20:$E$49,MATCH($C224,Baseline!$A$20:$A$49,0)),""))</f>
        <v/>
      </c>
      <c r="G224" s="57" t="n"/>
      <c r="H224" s="54" t="n"/>
      <c r="I224" s="54" t="n"/>
      <c r="J224" s="39">
        <f>IF($A224="","",IF($E224="Informational","GREEN",IF($G224="",IF($E224="Mandatory","RED","YELLOW"),IF($N224="Exact",IF(UPPER(TRIM($G224&amp;""))=UPPER(TRIM($F224&amp;"")),"GREEN",$P224),IF(NOT(ISNUMBER($G224)),$P224,IF($N224="Min",IF($G224&gt;=$F224,"GREEN",IF($G224&gt;=$F224-$O224,"YELLOW",$P224)),IF($N224="Max",IF($G224&lt;=$F224,"GREEN",IF($G224&lt;=$F224+$O224,"YELLOW",$P224)),IF($N224="Range",IF(ABS($G224-$F224)&lt;=$O224,"GREEN",$P224),"CHECK RULE"))))))))</f>
        <v/>
      </c>
      <c r="K224" s="39">
        <f>IF($A224="","",IF($H224="Non-Compliant","RED",IF(AND(OR($H224="Alternative Offer",$H224="Partially Compliant"),$J224="GREEN"),"YELLOW",IF(AND($J224="GREEN",ISNUMBER($R224),$R224&lt;Baseline!$B$9),"YELLOW",$J224))))</f>
        <v/>
      </c>
      <c r="L224" s="39">
        <f>IF($A224="","",IF($K224="GREEN","GREEN",IF(COUNTIFS(Exceptions!$B$5:$B$104,$A224,Exceptions!$C$5:$C$104,$B224,Exceptions!$D$5:$D$104,$C224,Exceptions!$G$5:$G$104,"Accepted",Exceptions!$H$5:$H$104,"&lt;&gt;")&gt;0,"CLEARED",$K224)))</f>
        <v/>
      </c>
      <c r="M224" s="39">
        <f>IF($A224="","",IF($H224="","Declaration missing",IF($H224="Not Stated","Not stated in quotation",IF(AND(ISNUMBER($R224),$R224&lt;Baseline!$B$9),"Low AI confidence - verify",IF(AND($H224="Fully Compliant",$J224&lt;&gt;"GREEN"),"Declared Fully - evidence differs","")))))</f>
        <v/>
      </c>
      <c r="N224" s="58">
        <f>IF($A224="","",IFERROR(INDEX(Baseline!$D$20:$D$49,MATCH($C224,Baseline!$A$20:$A$49,0)),""))</f>
        <v/>
      </c>
      <c r="O224" s="58">
        <f>IF($A224="","",IFERROR(INDEX(Baseline!$F$20:$F$49,MATCH($C224,Baseline!$A$20:$A$49,0)),0))</f>
        <v/>
      </c>
      <c r="P224" s="58">
        <f>IF($A224="","",IFERROR(INDEX(Baseline!$G$20:$G$49,MATCH($C224,Baseline!$A$20:$A$49,0)),"RED"))</f>
        <v/>
      </c>
      <c r="Q224" s="58">
        <f>IF($A224="","",$A224&amp;"|"&amp;$B224&amp;"|"&amp;$C224)</f>
        <v/>
      </c>
      <c r="R224" s="59" t="n"/>
      <c r="S224" s="60" t="n"/>
    </row>
    <row r="225" ht="15" customHeight="1" s="34">
      <c r="A225" s="54" t="n"/>
      <c r="B225" s="54" t="n"/>
      <c r="C225" s="54" t="n"/>
      <c r="D225" s="55">
        <f>IF($A225="","",IFERROR(INDEX(Baseline!$B$20:$B$49,MATCH($C225,Baseline!$A$20:$A$49,0)),"Line not in baseline"))</f>
        <v/>
      </c>
      <c r="E225" s="55">
        <f>IF($A225="","",IFERROR(INDEX(Baseline!$C$20:$C$49,MATCH($C225,Baseline!$A$20:$A$49,0)),""))</f>
        <v/>
      </c>
      <c r="F225" s="56">
        <f>IF($A225="","",IFERROR(INDEX(Baseline!$E$20:$E$49,MATCH($C225,Baseline!$A$20:$A$49,0)),""))</f>
        <v/>
      </c>
      <c r="G225" s="57" t="n"/>
      <c r="H225" s="54" t="n"/>
      <c r="I225" s="54" t="n"/>
      <c r="J225" s="39">
        <f>IF($A225="","",IF($E225="Informational","GREEN",IF($G225="",IF($E225="Mandatory","RED","YELLOW"),IF($N225="Exact",IF(UPPER(TRIM($G225&amp;""))=UPPER(TRIM($F225&amp;"")),"GREEN",$P225),IF(NOT(ISNUMBER($G225)),$P225,IF($N225="Min",IF($G225&gt;=$F225,"GREEN",IF($G225&gt;=$F225-$O225,"YELLOW",$P225)),IF($N225="Max",IF($G225&lt;=$F225,"GREEN",IF($G225&lt;=$F225+$O225,"YELLOW",$P225)),IF($N225="Range",IF(ABS($G225-$F225)&lt;=$O225,"GREEN",$P225),"CHECK RULE"))))))))</f>
        <v/>
      </c>
      <c r="K225" s="39">
        <f>IF($A225="","",IF($H225="Non-Compliant","RED",IF(AND(OR($H225="Alternative Offer",$H225="Partially Compliant"),$J225="GREEN"),"YELLOW",IF(AND($J225="GREEN",ISNUMBER($R225),$R225&lt;Baseline!$B$9),"YELLOW",$J225))))</f>
        <v/>
      </c>
      <c r="L225" s="39">
        <f>IF($A225="","",IF($K225="GREEN","GREEN",IF(COUNTIFS(Exceptions!$B$5:$B$104,$A225,Exceptions!$C$5:$C$104,$B225,Exceptions!$D$5:$D$104,$C225,Exceptions!$G$5:$G$104,"Accepted",Exceptions!$H$5:$H$104,"&lt;&gt;")&gt;0,"CLEARED",$K225)))</f>
        <v/>
      </c>
      <c r="M225" s="39">
        <f>IF($A225="","",IF($H225="","Declaration missing",IF($H225="Not Stated","Not stated in quotation",IF(AND(ISNUMBER($R225),$R225&lt;Baseline!$B$9),"Low AI confidence - verify",IF(AND($H225="Fully Compliant",$J225&lt;&gt;"GREEN"),"Declared Fully - evidence differs","")))))</f>
        <v/>
      </c>
      <c r="N225" s="58">
        <f>IF($A225="","",IFERROR(INDEX(Baseline!$D$20:$D$49,MATCH($C225,Baseline!$A$20:$A$49,0)),""))</f>
        <v/>
      </c>
      <c r="O225" s="58">
        <f>IF($A225="","",IFERROR(INDEX(Baseline!$F$20:$F$49,MATCH($C225,Baseline!$A$20:$A$49,0)),0))</f>
        <v/>
      </c>
      <c r="P225" s="58">
        <f>IF($A225="","",IFERROR(INDEX(Baseline!$G$20:$G$49,MATCH($C225,Baseline!$A$20:$A$49,0)),"RED"))</f>
        <v/>
      </c>
      <c r="Q225" s="58">
        <f>IF($A225="","",$A225&amp;"|"&amp;$B225&amp;"|"&amp;$C225)</f>
        <v/>
      </c>
      <c r="R225" s="59" t="n"/>
      <c r="S225" s="60" t="n"/>
    </row>
    <row r="226" ht="15" customHeight="1" s="34">
      <c r="A226" s="54" t="n"/>
      <c r="B226" s="54" t="n"/>
      <c r="C226" s="54" t="n"/>
      <c r="D226" s="55">
        <f>IF($A226="","",IFERROR(INDEX(Baseline!$B$20:$B$49,MATCH($C226,Baseline!$A$20:$A$49,0)),"Line not in baseline"))</f>
        <v/>
      </c>
      <c r="E226" s="55">
        <f>IF($A226="","",IFERROR(INDEX(Baseline!$C$20:$C$49,MATCH($C226,Baseline!$A$20:$A$49,0)),""))</f>
        <v/>
      </c>
      <c r="F226" s="56">
        <f>IF($A226="","",IFERROR(INDEX(Baseline!$E$20:$E$49,MATCH($C226,Baseline!$A$20:$A$49,0)),""))</f>
        <v/>
      </c>
      <c r="G226" s="57" t="n"/>
      <c r="H226" s="54" t="n"/>
      <c r="I226" s="54" t="n"/>
      <c r="J226" s="39">
        <f>IF($A226="","",IF($E226="Informational","GREEN",IF($G226="",IF($E226="Mandatory","RED","YELLOW"),IF($N226="Exact",IF(UPPER(TRIM($G226&amp;""))=UPPER(TRIM($F226&amp;"")),"GREEN",$P226),IF(NOT(ISNUMBER($G226)),$P226,IF($N226="Min",IF($G226&gt;=$F226,"GREEN",IF($G226&gt;=$F226-$O226,"YELLOW",$P226)),IF($N226="Max",IF($G226&lt;=$F226,"GREEN",IF($G226&lt;=$F226+$O226,"YELLOW",$P226)),IF($N226="Range",IF(ABS($G226-$F226)&lt;=$O226,"GREEN",$P226),"CHECK RULE"))))))))</f>
        <v/>
      </c>
      <c r="K226" s="39">
        <f>IF($A226="","",IF($H226="Non-Compliant","RED",IF(AND(OR($H226="Alternative Offer",$H226="Partially Compliant"),$J226="GREEN"),"YELLOW",IF(AND($J226="GREEN",ISNUMBER($R226),$R226&lt;Baseline!$B$9),"YELLOW",$J226))))</f>
        <v/>
      </c>
      <c r="L226" s="39">
        <f>IF($A226="","",IF($K226="GREEN","GREEN",IF(COUNTIFS(Exceptions!$B$5:$B$104,$A226,Exceptions!$C$5:$C$104,$B226,Exceptions!$D$5:$D$104,$C226,Exceptions!$G$5:$G$104,"Accepted",Exceptions!$H$5:$H$104,"&lt;&gt;")&gt;0,"CLEARED",$K226)))</f>
        <v/>
      </c>
      <c r="M226" s="39">
        <f>IF($A226="","",IF($H226="","Declaration missing",IF($H226="Not Stated","Not stated in quotation",IF(AND(ISNUMBER($R226),$R226&lt;Baseline!$B$9),"Low AI confidence - verify",IF(AND($H226="Fully Compliant",$J226&lt;&gt;"GREEN"),"Declared Fully - evidence differs","")))))</f>
        <v/>
      </c>
      <c r="N226" s="58">
        <f>IF($A226="","",IFERROR(INDEX(Baseline!$D$20:$D$49,MATCH($C226,Baseline!$A$20:$A$49,0)),""))</f>
        <v/>
      </c>
      <c r="O226" s="58">
        <f>IF($A226="","",IFERROR(INDEX(Baseline!$F$20:$F$49,MATCH($C226,Baseline!$A$20:$A$49,0)),0))</f>
        <v/>
      </c>
      <c r="P226" s="58">
        <f>IF($A226="","",IFERROR(INDEX(Baseline!$G$20:$G$49,MATCH($C226,Baseline!$A$20:$A$49,0)),"RED"))</f>
        <v/>
      </c>
      <c r="Q226" s="58">
        <f>IF($A226="","",$A226&amp;"|"&amp;$B226&amp;"|"&amp;$C226)</f>
        <v/>
      </c>
      <c r="R226" s="59" t="n"/>
      <c r="S226" s="60" t="n"/>
    </row>
    <row r="227" ht="15" customHeight="1" s="34">
      <c r="A227" s="54" t="n"/>
      <c r="B227" s="54" t="n"/>
      <c r="C227" s="54" t="n"/>
      <c r="D227" s="55">
        <f>IF($A227="","",IFERROR(INDEX(Baseline!$B$20:$B$49,MATCH($C227,Baseline!$A$20:$A$49,0)),"Line not in baseline"))</f>
        <v/>
      </c>
      <c r="E227" s="55">
        <f>IF($A227="","",IFERROR(INDEX(Baseline!$C$20:$C$49,MATCH($C227,Baseline!$A$20:$A$49,0)),""))</f>
        <v/>
      </c>
      <c r="F227" s="56">
        <f>IF($A227="","",IFERROR(INDEX(Baseline!$E$20:$E$49,MATCH($C227,Baseline!$A$20:$A$49,0)),""))</f>
        <v/>
      </c>
      <c r="G227" s="57" t="n"/>
      <c r="H227" s="54" t="n"/>
      <c r="I227" s="54" t="n"/>
      <c r="J227" s="39">
        <f>IF($A227="","",IF($E227="Informational","GREEN",IF($G227="",IF($E227="Mandatory","RED","YELLOW"),IF($N227="Exact",IF(UPPER(TRIM($G227&amp;""))=UPPER(TRIM($F227&amp;"")),"GREEN",$P227),IF(NOT(ISNUMBER($G227)),$P227,IF($N227="Min",IF($G227&gt;=$F227,"GREEN",IF($G227&gt;=$F227-$O227,"YELLOW",$P227)),IF($N227="Max",IF($G227&lt;=$F227,"GREEN",IF($G227&lt;=$F227+$O227,"YELLOW",$P227)),IF($N227="Range",IF(ABS($G227-$F227)&lt;=$O227,"GREEN",$P227),"CHECK RULE"))))))))</f>
        <v/>
      </c>
      <c r="K227" s="39">
        <f>IF($A227="","",IF($H227="Non-Compliant","RED",IF(AND(OR($H227="Alternative Offer",$H227="Partially Compliant"),$J227="GREEN"),"YELLOW",IF(AND($J227="GREEN",ISNUMBER($R227),$R227&lt;Baseline!$B$9),"YELLOW",$J227))))</f>
        <v/>
      </c>
      <c r="L227" s="39">
        <f>IF($A227="","",IF($K227="GREEN","GREEN",IF(COUNTIFS(Exceptions!$B$5:$B$104,$A227,Exceptions!$C$5:$C$104,$B227,Exceptions!$D$5:$D$104,$C227,Exceptions!$G$5:$G$104,"Accepted",Exceptions!$H$5:$H$104,"&lt;&gt;")&gt;0,"CLEARED",$K227)))</f>
        <v/>
      </c>
      <c r="M227" s="39">
        <f>IF($A227="","",IF($H227="","Declaration missing",IF($H227="Not Stated","Not stated in quotation",IF(AND(ISNUMBER($R227),$R227&lt;Baseline!$B$9),"Low AI confidence - verify",IF(AND($H227="Fully Compliant",$J227&lt;&gt;"GREEN"),"Declared Fully - evidence differs","")))))</f>
        <v/>
      </c>
      <c r="N227" s="58">
        <f>IF($A227="","",IFERROR(INDEX(Baseline!$D$20:$D$49,MATCH($C227,Baseline!$A$20:$A$49,0)),""))</f>
        <v/>
      </c>
      <c r="O227" s="58">
        <f>IF($A227="","",IFERROR(INDEX(Baseline!$F$20:$F$49,MATCH($C227,Baseline!$A$20:$A$49,0)),0))</f>
        <v/>
      </c>
      <c r="P227" s="58">
        <f>IF($A227="","",IFERROR(INDEX(Baseline!$G$20:$G$49,MATCH($C227,Baseline!$A$20:$A$49,0)),"RED"))</f>
        <v/>
      </c>
      <c r="Q227" s="58">
        <f>IF($A227="","",$A227&amp;"|"&amp;$B227&amp;"|"&amp;$C227)</f>
        <v/>
      </c>
      <c r="R227" s="59" t="n"/>
      <c r="S227" s="60" t="n"/>
    </row>
    <row r="228" ht="15" customHeight="1" s="34">
      <c r="A228" s="54" t="n"/>
      <c r="B228" s="54" t="n"/>
      <c r="C228" s="54" t="n"/>
      <c r="D228" s="55">
        <f>IF($A228="","",IFERROR(INDEX(Baseline!$B$20:$B$49,MATCH($C228,Baseline!$A$20:$A$49,0)),"Line not in baseline"))</f>
        <v/>
      </c>
      <c r="E228" s="55">
        <f>IF($A228="","",IFERROR(INDEX(Baseline!$C$20:$C$49,MATCH($C228,Baseline!$A$20:$A$49,0)),""))</f>
        <v/>
      </c>
      <c r="F228" s="56">
        <f>IF($A228="","",IFERROR(INDEX(Baseline!$E$20:$E$49,MATCH($C228,Baseline!$A$20:$A$49,0)),""))</f>
        <v/>
      </c>
      <c r="G228" s="57" t="n"/>
      <c r="H228" s="54" t="n"/>
      <c r="I228" s="54" t="n"/>
      <c r="J228" s="39">
        <f>IF($A228="","",IF($E228="Informational","GREEN",IF($G228="",IF($E228="Mandatory","RED","YELLOW"),IF($N228="Exact",IF(UPPER(TRIM($G228&amp;""))=UPPER(TRIM($F228&amp;"")),"GREEN",$P228),IF(NOT(ISNUMBER($G228)),$P228,IF($N228="Min",IF($G228&gt;=$F228,"GREEN",IF($G228&gt;=$F228-$O228,"YELLOW",$P228)),IF($N228="Max",IF($G228&lt;=$F228,"GREEN",IF($G228&lt;=$F228+$O228,"YELLOW",$P228)),IF($N228="Range",IF(ABS($G228-$F228)&lt;=$O228,"GREEN",$P228),"CHECK RULE"))))))))</f>
        <v/>
      </c>
      <c r="K228" s="39">
        <f>IF($A228="","",IF($H228="Non-Compliant","RED",IF(AND(OR($H228="Alternative Offer",$H228="Partially Compliant"),$J228="GREEN"),"YELLOW",IF(AND($J228="GREEN",ISNUMBER($R228),$R228&lt;Baseline!$B$9),"YELLOW",$J228))))</f>
        <v/>
      </c>
      <c r="L228" s="39">
        <f>IF($A228="","",IF($K228="GREEN","GREEN",IF(COUNTIFS(Exceptions!$B$5:$B$104,$A228,Exceptions!$C$5:$C$104,$B228,Exceptions!$D$5:$D$104,$C228,Exceptions!$G$5:$G$104,"Accepted",Exceptions!$H$5:$H$104,"&lt;&gt;")&gt;0,"CLEARED",$K228)))</f>
        <v/>
      </c>
      <c r="M228" s="39">
        <f>IF($A228="","",IF($H228="","Declaration missing",IF($H228="Not Stated","Not stated in quotation",IF(AND(ISNUMBER($R228),$R228&lt;Baseline!$B$9),"Low AI confidence - verify",IF(AND($H228="Fully Compliant",$J228&lt;&gt;"GREEN"),"Declared Fully - evidence differs","")))))</f>
        <v/>
      </c>
      <c r="N228" s="58">
        <f>IF($A228="","",IFERROR(INDEX(Baseline!$D$20:$D$49,MATCH($C228,Baseline!$A$20:$A$49,0)),""))</f>
        <v/>
      </c>
      <c r="O228" s="58">
        <f>IF($A228="","",IFERROR(INDEX(Baseline!$F$20:$F$49,MATCH($C228,Baseline!$A$20:$A$49,0)),0))</f>
        <v/>
      </c>
      <c r="P228" s="58">
        <f>IF($A228="","",IFERROR(INDEX(Baseline!$G$20:$G$49,MATCH($C228,Baseline!$A$20:$A$49,0)),"RED"))</f>
        <v/>
      </c>
      <c r="Q228" s="58">
        <f>IF($A228="","",$A228&amp;"|"&amp;$B228&amp;"|"&amp;$C228)</f>
        <v/>
      </c>
      <c r="R228" s="59" t="n"/>
      <c r="S228" s="60" t="n"/>
    </row>
    <row r="229" ht="15" customHeight="1" s="34">
      <c r="A229" s="54" t="n"/>
      <c r="B229" s="54" t="n"/>
      <c r="C229" s="54" t="n"/>
      <c r="D229" s="55">
        <f>IF($A229="","",IFERROR(INDEX(Baseline!$B$20:$B$49,MATCH($C229,Baseline!$A$20:$A$49,0)),"Line not in baseline"))</f>
        <v/>
      </c>
      <c r="E229" s="55">
        <f>IF($A229="","",IFERROR(INDEX(Baseline!$C$20:$C$49,MATCH($C229,Baseline!$A$20:$A$49,0)),""))</f>
        <v/>
      </c>
      <c r="F229" s="56">
        <f>IF($A229="","",IFERROR(INDEX(Baseline!$E$20:$E$49,MATCH($C229,Baseline!$A$20:$A$49,0)),""))</f>
        <v/>
      </c>
      <c r="G229" s="57" t="n"/>
      <c r="H229" s="54" t="n"/>
      <c r="I229" s="54" t="n"/>
      <c r="J229" s="39">
        <f>IF($A229="","",IF($E229="Informational","GREEN",IF($G229="",IF($E229="Mandatory","RED","YELLOW"),IF($N229="Exact",IF(UPPER(TRIM($G229&amp;""))=UPPER(TRIM($F229&amp;"")),"GREEN",$P229),IF(NOT(ISNUMBER($G229)),$P229,IF($N229="Min",IF($G229&gt;=$F229,"GREEN",IF($G229&gt;=$F229-$O229,"YELLOW",$P229)),IF($N229="Max",IF($G229&lt;=$F229,"GREEN",IF($G229&lt;=$F229+$O229,"YELLOW",$P229)),IF($N229="Range",IF(ABS($G229-$F229)&lt;=$O229,"GREEN",$P229),"CHECK RULE"))))))))</f>
        <v/>
      </c>
      <c r="K229" s="39">
        <f>IF($A229="","",IF($H229="Non-Compliant","RED",IF(AND(OR($H229="Alternative Offer",$H229="Partially Compliant"),$J229="GREEN"),"YELLOW",IF(AND($J229="GREEN",ISNUMBER($R229),$R229&lt;Baseline!$B$9),"YELLOW",$J229))))</f>
        <v/>
      </c>
      <c r="L229" s="39">
        <f>IF($A229="","",IF($K229="GREEN","GREEN",IF(COUNTIFS(Exceptions!$B$5:$B$104,$A229,Exceptions!$C$5:$C$104,$B229,Exceptions!$D$5:$D$104,$C229,Exceptions!$G$5:$G$104,"Accepted",Exceptions!$H$5:$H$104,"&lt;&gt;")&gt;0,"CLEARED",$K229)))</f>
        <v/>
      </c>
      <c r="M229" s="39">
        <f>IF($A229="","",IF($H229="","Declaration missing",IF($H229="Not Stated","Not stated in quotation",IF(AND(ISNUMBER($R229),$R229&lt;Baseline!$B$9),"Low AI confidence - verify",IF(AND($H229="Fully Compliant",$J229&lt;&gt;"GREEN"),"Declared Fully - evidence differs","")))))</f>
        <v/>
      </c>
      <c r="N229" s="58">
        <f>IF($A229="","",IFERROR(INDEX(Baseline!$D$20:$D$49,MATCH($C229,Baseline!$A$20:$A$49,0)),""))</f>
        <v/>
      </c>
      <c r="O229" s="58">
        <f>IF($A229="","",IFERROR(INDEX(Baseline!$F$20:$F$49,MATCH($C229,Baseline!$A$20:$A$49,0)),0))</f>
        <v/>
      </c>
      <c r="P229" s="58">
        <f>IF($A229="","",IFERROR(INDEX(Baseline!$G$20:$G$49,MATCH($C229,Baseline!$A$20:$A$49,0)),"RED"))</f>
        <v/>
      </c>
      <c r="Q229" s="58">
        <f>IF($A229="","",$A229&amp;"|"&amp;$B229&amp;"|"&amp;$C229)</f>
        <v/>
      </c>
      <c r="R229" s="59" t="n"/>
      <c r="S229" s="60" t="n"/>
    </row>
    <row r="230" ht="15" customHeight="1" s="34">
      <c r="A230" s="54" t="n"/>
      <c r="B230" s="54" t="n"/>
      <c r="C230" s="54" t="n"/>
      <c r="D230" s="55">
        <f>IF($A230="","",IFERROR(INDEX(Baseline!$B$20:$B$49,MATCH($C230,Baseline!$A$20:$A$49,0)),"Line not in baseline"))</f>
        <v/>
      </c>
      <c r="E230" s="55">
        <f>IF($A230="","",IFERROR(INDEX(Baseline!$C$20:$C$49,MATCH($C230,Baseline!$A$20:$A$49,0)),""))</f>
        <v/>
      </c>
      <c r="F230" s="56">
        <f>IF($A230="","",IFERROR(INDEX(Baseline!$E$20:$E$49,MATCH($C230,Baseline!$A$20:$A$49,0)),""))</f>
        <v/>
      </c>
      <c r="G230" s="57" t="n"/>
      <c r="H230" s="54" t="n"/>
      <c r="I230" s="54" t="n"/>
      <c r="J230" s="39">
        <f>IF($A230="","",IF($E230="Informational","GREEN",IF($G230="",IF($E230="Mandatory","RED","YELLOW"),IF($N230="Exact",IF(UPPER(TRIM($G230&amp;""))=UPPER(TRIM($F230&amp;"")),"GREEN",$P230),IF(NOT(ISNUMBER($G230)),$P230,IF($N230="Min",IF($G230&gt;=$F230,"GREEN",IF($G230&gt;=$F230-$O230,"YELLOW",$P230)),IF($N230="Max",IF($G230&lt;=$F230,"GREEN",IF($G230&lt;=$F230+$O230,"YELLOW",$P230)),IF($N230="Range",IF(ABS($G230-$F230)&lt;=$O230,"GREEN",$P230),"CHECK RULE"))))))))</f>
        <v/>
      </c>
      <c r="K230" s="39">
        <f>IF($A230="","",IF($H230="Non-Compliant","RED",IF(AND(OR($H230="Alternative Offer",$H230="Partially Compliant"),$J230="GREEN"),"YELLOW",IF(AND($J230="GREEN",ISNUMBER($R230),$R230&lt;Baseline!$B$9),"YELLOW",$J230))))</f>
        <v/>
      </c>
      <c r="L230" s="39">
        <f>IF($A230="","",IF($K230="GREEN","GREEN",IF(COUNTIFS(Exceptions!$B$5:$B$104,$A230,Exceptions!$C$5:$C$104,$B230,Exceptions!$D$5:$D$104,$C230,Exceptions!$G$5:$G$104,"Accepted",Exceptions!$H$5:$H$104,"&lt;&gt;")&gt;0,"CLEARED",$K230)))</f>
        <v/>
      </c>
      <c r="M230" s="39">
        <f>IF($A230="","",IF($H230="","Declaration missing",IF($H230="Not Stated","Not stated in quotation",IF(AND(ISNUMBER($R230),$R230&lt;Baseline!$B$9),"Low AI confidence - verify",IF(AND($H230="Fully Compliant",$J230&lt;&gt;"GREEN"),"Declared Fully - evidence differs","")))))</f>
        <v/>
      </c>
      <c r="N230" s="58">
        <f>IF($A230="","",IFERROR(INDEX(Baseline!$D$20:$D$49,MATCH($C230,Baseline!$A$20:$A$49,0)),""))</f>
        <v/>
      </c>
      <c r="O230" s="58">
        <f>IF($A230="","",IFERROR(INDEX(Baseline!$F$20:$F$49,MATCH($C230,Baseline!$A$20:$A$49,0)),0))</f>
        <v/>
      </c>
      <c r="P230" s="58">
        <f>IF($A230="","",IFERROR(INDEX(Baseline!$G$20:$G$49,MATCH($C230,Baseline!$A$20:$A$49,0)),"RED"))</f>
        <v/>
      </c>
      <c r="Q230" s="58">
        <f>IF($A230="","",$A230&amp;"|"&amp;$B230&amp;"|"&amp;$C230)</f>
        <v/>
      </c>
      <c r="R230" s="59" t="n"/>
      <c r="S230" s="60" t="n"/>
    </row>
    <row r="231" ht="15" customHeight="1" s="34">
      <c r="A231" s="54" t="n"/>
      <c r="B231" s="54" t="n"/>
      <c r="C231" s="54" t="n"/>
      <c r="D231" s="55">
        <f>IF($A231="","",IFERROR(INDEX(Baseline!$B$20:$B$49,MATCH($C231,Baseline!$A$20:$A$49,0)),"Line not in baseline"))</f>
        <v/>
      </c>
      <c r="E231" s="55">
        <f>IF($A231="","",IFERROR(INDEX(Baseline!$C$20:$C$49,MATCH($C231,Baseline!$A$20:$A$49,0)),""))</f>
        <v/>
      </c>
      <c r="F231" s="56">
        <f>IF($A231="","",IFERROR(INDEX(Baseline!$E$20:$E$49,MATCH($C231,Baseline!$A$20:$A$49,0)),""))</f>
        <v/>
      </c>
      <c r="G231" s="57" t="n"/>
      <c r="H231" s="54" t="n"/>
      <c r="I231" s="54" t="n"/>
      <c r="J231" s="39">
        <f>IF($A231="","",IF($E231="Informational","GREEN",IF($G231="",IF($E231="Mandatory","RED","YELLOW"),IF($N231="Exact",IF(UPPER(TRIM($G231&amp;""))=UPPER(TRIM($F231&amp;"")),"GREEN",$P231),IF(NOT(ISNUMBER($G231)),$P231,IF($N231="Min",IF($G231&gt;=$F231,"GREEN",IF($G231&gt;=$F231-$O231,"YELLOW",$P231)),IF($N231="Max",IF($G231&lt;=$F231,"GREEN",IF($G231&lt;=$F231+$O231,"YELLOW",$P231)),IF($N231="Range",IF(ABS($G231-$F231)&lt;=$O231,"GREEN",$P231),"CHECK RULE"))))))))</f>
        <v/>
      </c>
      <c r="K231" s="39">
        <f>IF($A231="","",IF($H231="Non-Compliant","RED",IF(AND(OR($H231="Alternative Offer",$H231="Partially Compliant"),$J231="GREEN"),"YELLOW",IF(AND($J231="GREEN",ISNUMBER($R231),$R231&lt;Baseline!$B$9),"YELLOW",$J231))))</f>
        <v/>
      </c>
      <c r="L231" s="39">
        <f>IF($A231="","",IF($K231="GREEN","GREEN",IF(COUNTIFS(Exceptions!$B$5:$B$104,$A231,Exceptions!$C$5:$C$104,$B231,Exceptions!$D$5:$D$104,$C231,Exceptions!$G$5:$G$104,"Accepted",Exceptions!$H$5:$H$104,"&lt;&gt;")&gt;0,"CLEARED",$K231)))</f>
        <v/>
      </c>
      <c r="M231" s="39">
        <f>IF($A231="","",IF($H231="","Declaration missing",IF($H231="Not Stated","Not stated in quotation",IF(AND(ISNUMBER($R231),$R231&lt;Baseline!$B$9),"Low AI confidence - verify",IF(AND($H231="Fully Compliant",$J231&lt;&gt;"GREEN"),"Declared Fully - evidence differs","")))))</f>
        <v/>
      </c>
      <c r="N231" s="58">
        <f>IF($A231="","",IFERROR(INDEX(Baseline!$D$20:$D$49,MATCH($C231,Baseline!$A$20:$A$49,0)),""))</f>
        <v/>
      </c>
      <c r="O231" s="58">
        <f>IF($A231="","",IFERROR(INDEX(Baseline!$F$20:$F$49,MATCH($C231,Baseline!$A$20:$A$49,0)),0))</f>
        <v/>
      </c>
      <c r="P231" s="58">
        <f>IF($A231="","",IFERROR(INDEX(Baseline!$G$20:$G$49,MATCH($C231,Baseline!$A$20:$A$49,0)),"RED"))</f>
        <v/>
      </c>
      <c r="Q231" s="58">
        <f>IF($A231="","",$A231&amp;"|"&amp;$B231&amp;"|"&amp;$C231)</f>
        <v/>
      </c>
      <c r="R231" s="59" t="n"/>
      <c r="S231" s="60" t="n"/>
    </row>
    <row r="232" ht="15" customHeight="1" s="34">
      <c r="A232" s="54" t="n"/>
      <c r="B232" s="54" t="n"/>
      <c r="C232" s="54" t="n"/>
      <c r="D232" s="55">
        <f>IF($A232="","",IFERROR(INDEX(Baseline!$B$20:$B$49,MATCH($C232,Baseline!$A$20:$A$49,0)),"Line not in baseline"))</f>
        <v/>
      </c>
      <c r="E232" s="55">
        <f>IF($A232="","",IFERROR(INDEX(Baseline!$C$20:$C$49,MATCH($C232,Baseline!$A$20:$A$49,0)),""))</f>
        <v/>
      </c>
      <c r="F232" s="56">
        <f>IF($A232="","",IFERROR(INDEX(Baseline!$E$20:$E$49,MATCH($C232,Baseline!$A$20:$A$49,0)),""))</f>
        <v/>
      </c>
      <c r="G232" s="57" t="n"/>
      <c r="H232" s="54" t="n"/>
      <c r="I232" s="54" t="n"/>
      <c r="J232" s="39">
        <f>IF($A232="","",IF($E232="Informational","GREEN",IF($G232="",IF($E232="Mandatory","RED","YELLOW"),IF($N232="Exact",IF(UPPER(TRIM($G232&amp;""))=UPPER(TRIM($F232&amp;"")),"GREEN",$P232),IF(NOT(ISNUMBER($G232)),$P232,IF($N232="Min",IF($G232&gt;=$F232,"GREEN",IF($G232&gt;=$F232-$O232,"YELLOW",$P232)),IF($N232="Max",IF($G232&lt;=$F232,"GREEN",IF($G232&lt;=$F232+$O232,"YELLOW",$P232)),IF($N232="Range",IF(ABS($G232-$F232)&lt;=$O232,"GREEN",$P232),"CHECK RULE"))))))))</f>
        <v/>
      </c>
      <c r="K232" s="39">
        <f>IF($A232="","",IF($H232="Non-Compliant","RED",IF(AND(OR($H232="Alternative Offer",$H232="Partially Compliant"),$J232="GREEN"),"YELLOW",IF(AND($J232="GREEN",ISNUMBER($R232),$R232&lt;Baseline!$B$9),"YELLOW",$J232))))</f>
        <v/>
      </c>
      <c r="L232" s="39">
        <f>IF($A232="","",IF($K232="GREEN","GREEN",IF(COUNTIFS(Exceptions!$B$5:$B$104,$A232,Exceptions!$C$5:$C$104,$B232,Exceptions!$D$5:$D$104,$C232,Exceptions!$G$5:$G$104,"Accepted",Exceptions!$H$5:$H$104,"&lt;&gt;")&gt;0,"CLEARED",$K232)))</f>
        <v/>
      </c>
      <c r="M232" s="39">
        <f>IF($A232="","",IF($H232="","Declaration missing",IF($H232="Not Stated","Not stated in quotation",IF(AND(ISNUMBER($R232),$R232&lt;Baseline!$B$9),"Low AI confidence - verify",IF(AND($H232="Fully Compliant",$J232&lt;&gt;"GREEN"),"Declared Fully - evidence differs","")))))</f>
        <v/>
      </c>
      <c r="N232" s="58">
        <f>IF($A232="","",IFERROR(INDEX(Baseline!$D$20:$D$49,MATCH($C232,Baseline!$A$20:$A$49,0)),""))</f>
        <v/>
      </c>
      <c r="O232" s="58">
        <f>IF($A232="","",IFERROR(INDEX(Baseline!$F$20:$F$49,MATCH($C232,Baseline!$A$20:$A$49,0)),0))</f>
        <v/>
      </c>
      <c r="P232" s="58">
        <f>IF($A232="","",IFERROR(INDEX(Baseline!$G$20:$G$49,MATCH($C232,Baseline!$A$20:$A$49,0)),"RED"))</f>
        <v/>
      </c>
      <c r="Q232" s="58">
        <f>IF($A232="","",$A232&amp;"|"&amp;$B232&amp;"|"&amp;$C232)</f>
        <v/>
      </c>
      <c r="R232" s="59" t="n"/>
      <c r="S232" s="60" t="n"/>
    </row>
    <row r="233" ht="15" customHeight="1" s="34">
      <c r="A233" s="54" t="n"/>
      <c r="B233" s="54" t="n"/>
      <c r="C233" s="54" t="n"/>
      <c r="D233" s="55">
        <f>IF($A233="","",IFERROR(INDEX(Baseline!$B$20:$B$49,MATCH($C233,Baseline!$A$20:$A$49,0)),"Line not in baseline"))</f>
        <v/>
      </c>
      <c r="E233" s="55">
        <f>IF($A233="","",IFERROR(INDEX(Baseline!$C$20:$C$49,MATCH($C233,Baseline!$A$20:$A$49,0)),""))</f>
        <v/>
      </c>
      <c r="F233" s="56">
        <f>IF($A233="","",IFERROR(INDEX(Baseline!$E$20:$E$49,MATCH($C233,Baseline!$A$20:$A$49,0)),""))</f>
        <v/>
      </c>
      <c r="G233" s="57" t="n"/>
      <c r="H233" s="54" t="n"/>
      <c r="I233" s="54" t="n"/>
      <c r="J233" s="39">
        <f>IF($A233="","",IF($E233="Informational","GREEN",IF($G233="",IF($E233="Mandatory","RED","YELLOW"),IF($N233="Exact",IF(UPPER(TRIM($G233&amp;""))=UPPER(TRIM($F233&amp;"")),"GREEN",$P233),IF(NOT(ISNUMBER($G233)),$P233,IF($N233="Min",IF($G233&gt;=$F233,"GREEN",IF($G233&gt;=$F233-$O233,"YELLOW",$P233)),IF($N233="Max",IF($G233&lt;=$F233,"GREEN",IF($G233&lt;=$F233+$O233,"YELLOW",$P233)),IF($N233="Range",IF(ABS($G233-$F233)&lt;=$O233,"GREEN",$P233),"CHECK RULE"))))))))</f>
        <v/>
      </c>
      <c r="K233" s="39">
        <f>IF($A233="","",IF($H233="Non-Compliant","RED",IF(AND(OR($H233="Alternative Offer",$H233="Partially Compliant"),$J233="GREEN"),"YELLOW",IF(AND($J233="GREEN",ISNUMBER($R233),$R233&lt;Baseline!$B$9),"YELLOW",$J233))))</f>
        <v/>
      </c>
      <c r="L233" s="39">
        <f>IF($A233="","",IF($K233="GREEN","GREEN",IF(COUNTIFS(Exceptions!$B$5:$B$104,$A233,Exceptions!$C$5:$C$104,$B233,Exceptions!$D$5:$D$104,$C233,Exceptions!$G$5:$G$104,"Accepted",Exceptions!$H$5:$H$104,"&lt;&gt;")&gt;0,"CLEARED",$K233)))</f>
        <v/>
      </c>
      <c r="M233" s="39">
        <f>IF($A233="","",IF($H233="","Declaration missing",IF($H233="Not Stated","Not stated in quotation",IF(AND(ISNUMBER($R233),$R233&lt;Baseline!$B$9),"Low AI confidence - verify",IF(AND($H233="Fully Compliant",$J233&lt;&gt;"GREEN"),"Declared Fully - evidence differs","")))))</f>
        <v/>
      </c>
      <c r="N233" s="58">
        <f>IF($A233="","",IFERROR(INDEX(Baseline!$D$20:$D$49,MATCH($C233,Baseline!$A$20:$A$49,0)),""))</f>
        <v/>
      </c>
      <c r="O233" s="58">
        <f>IF($A233="","",IFERROR(INDEX(Baseline!$F$20:$F$49,MATCH($C233,Baseline!$A$20:$A$49,0)),0))</f>
        <v/>
      </c>
      <c r="P233" s="58">
        <f>IF($A233="","",IFERROR(INDEX(Baseline!$G$20:$G$49,MATCH($C233,Baseline!$A$20:$A$49,0)),"RED"))</f>
        <v/>
      </c>
      <c r="Q233" s="58">
        <f>IF($A233="","",$A233&amp;"|"&amp;$B233&amp;"|"&amp;$C233)</f>
        <v/>
      </c>
      <c r="R233" s="59" t="n"/>
      <c r="S233" s="60" t="n"/>
    </row>
    <row r="234" ht="15" customHeight="1" s="34">
      <c r="A234" s="54" t="n"/>
      <c r="B234" s="54" t="n"/>
      <c r="C234" s="54" t="n"/>
      <c r="D234" s="55">
        <f>IF($A234="","",IFERROR(INDEX(Baseline!$B$20:$B$49,MATCH($C234,Baseline!$A$20:$A$49,0)),"Line not in baseline"))</f>
        <v/>
      </c>
      <c r="E234" s="55">
        <f>IF($A234="","",IFERROR(INDEX(Baseline!$C$20:$C$49,MATCH($C234,Baseline!$A$20:$A$49,0)),""))</f>
        <v/>
      </c>
      <c r="F234" s="56">
        <f>IF($A234="","",IFERROR(INDEX(Baseline!$E$20:$E$49,MATCH($C234,Baseline!$A$20:$A$49,0)),""))</f>
        <v/>
      </c>
      <c r="G234" s="57" t="n"/>
      <c r="H234" s="54" t="n"/>
      <c r="I234" s="54" t="n"/>
      <c r="J234" s="39">
        <f>IF($A234="","",IF($E234="Informational","GREEN",IF($G234="",IF($E234="Mandatory","RED","YELLOW"),IF($N234="Exact",IF(UPPER(TRIM($G234&amp;""))=UPPER(TRIM($F234&amp;"")),"GREEN",$P234),IF(NOT(ISNUMBER($G234)),$P234,IF($N234="Min",IF($G234&gt;=$F234,"GREEN",IF($G234&gt;=$F234-$O234,"YELLOW",$P234)),IF($N234="Max",IF($G234&lt;=$F234,"GREEN",IF($G234&lt;=$F234+$O234,"YELLOW",$P234)),IF($N234="Range",IF(ABS($G234-$F234)&lt;=$O234,"GREEN",$P234),"CHECK RULE"))))))))</f>
        <v/>
      </c>
      <c r="K234" s="39">
        <f>IF($A234="","",IF($H234="Non-Compliant","RED",IF(AND(OR($H234="Alternative Offer",$H234="Partially Compliant"),$J234="GREEN"),"YELLOW",IF(AND($J234="GREEN",ISNUMBER($R234),$R234&lt;Baseline!$B$9),"YELLOW",$J234))))</f>
        <v/>
      </c>
      <c r="L234" s="39">
        <f>IF($A234="","",IF($K234="GREEN","GREEN",IF(COUNTIFS(Exceptions!$B$5:$B$104,$A234,Exceptions!$C$5:$C$104,$B234,Exceptions!$D$5:$D$104,$C234,Exceptions!$G$5:$G$104,"Accepted",Exceptions!$H$5:$H$104,"&lt;&gt;")&gt;0,"CLEARED",$K234)))</f>
        <v/>
      </c>
      <c r="M234" s="39">
        <f>IF($A234="","",IF($H234="","Declaration missing",IF($H234="Not Stated","Not stated in quotation",IF(AND(ISNUMBER($R234),$R234&lt;Baseline!$B$9),"Low AI confidence - verify",IF(AND($H234="Fully Compliant",$J234&lt;&gt;"GREEN"),"Declared Fully - evidence differs","")))))</f>
        <v/>
      </c>
      <c r="N234" s="58">
        <f>IF($A234="","",IFERROR(INDEX(Baseline!$D$20:$D$49,MATCH($C234,Baseline!$A$20:$A$49,0)),""))</f>
        <v/>
      </c>
      <c r="O234" s="58">
        <f>IF($A234="","",IFERROR(INDEX(Baseline!$F$20:$F$49,MATCH($C234,Baseline!$A$20:$A$49,0)),0))</f>
        <v/>
      </c>
      <c r="P234" s="58">
        <f>IF($A234="","",IFERROR(INDEX(Baseline!$G$20:$G$49,MATCH($C234,Baseline!$A$20:$A$49,0)),"RED"))</f>
        <v/>
      </c>
      <c r="Q234" s="58">
        <f>IF($A234="","",$A234&amp;"|"&amp;$B234&amp;"|"&amp;$C234)</f>
        <v/>
      </c>
      <c r="R234" s="59" t="n"/>
      <c r="S234" s="60" t="n"/>
    </row>
    <row r="235" ht="15" customHeight="1" s="34">
      <c r="A235" s="54" t="n"/>
      <c r="B235" s="54" t="n"/>
      <c r="C235" s="54" t="n"/>
      <c r="D235" s="55">
        <f>IF($A235="","",IFERROR(INDEX(Baseline!$B$20:$B$49,MATCH($C235,Baseline!$A$20:$A$49,0)),"Line not in baseline"))</f>
        <v/>
      </c>
      <c r="E235" s="55">
        <f>IF($A235="","",IFERROR(INDEX(Baseline!$C$20:$C$49,MATCH($C235,Baseline!$A$20:$A$49,0)),""))</f>
        <v/>
      </c>
      <c r="F235" s="56">
        <f>IF($A235="","",IFERROR(INDEX(Baseline!$E$20:$E$49,MATCH($C235,Baseline!$A$20:$A$49,0)),""))</f>
        <v/>
      </c>
      <c r="G235" s="57" t="n"/>
      <c r="H235" s="54" t="n"/>
      <c r="I235" s="54" t="n"/>
      <c r="J235" s="39">
        <f>IF($A235="","",IF($E235="Informational","GREEN",IF($G235="",IF($E235="Mandatory","RED","YELLOW"),IF($N235="Exact",IF(UPPER(TRIM($G235&amp;""))=UPPER(TRIM($F235&amp;"")),"GREEN",$P235),IF(NOT(ISNUMBER($G235)),$P235,IF($N235="Min",IF($G235&gt;=$F235,"GREEN",IF($G235&gt;=$F235-$O235,"YELLOW",$P235)),IF($N235="Max",IF($G235&lt;=$F235,"GREEN",IF($G235&lt;=$F235+$O235,"YELLOW",$P235)),IF($N235="Range",IF(ABS($G235-$F235)&lt;=$O235,"GREEN",$P235),"CHECK RULE"))))))))</f>
        <v/>
      </c>
      <c r="K235" s="39">
        <f>IF($A235="","",IF($H235="Non-Compliant","RED",IF(AND(OR($H235="Alternative Offer",$H235="Partially Compliant"),$J235="GREEN"),"YELLOW",IF(AND($J235="GREEN",ISNUMBER($R235),$R235&lt;Baseline!$B$9),"YELLOW",$J235))))</f>
        <v/>
      </c>
      <c r="L235" s="39">
        <f>IF($A235="","",IF($K235="GREEN","GREEN",IF(COUNTIFS(Exceptions!$B$5:$B$104,$A235,Exceptions!$C$5:$C$104,$B235,Exceptions!$D$5:$D$104,$C235,Exceptions!$G$5:$G$104,"Accepted",Exceptions!$H$5:$H$104,"&lt;&gt;")&gt;0,"CLEARED",$K235)))</f>
        <v/>
      </c>
      <c r="M235" s="39">
        <f>IF($A235="","",IF($H235="","Declaration missing",IF($H235="Not Stated","Not stated in quotation",IF(AND(ISNUMBER($R235),$R235&lt;Baseline!$B$9),"Low AI confidence - verify",IF(AND($H235="Fully Compliant",$J235&lt;&gt;"GREEN"),"Declared Fully - evidence differs","")))))</f>
        <v/>
      </c>
      <c r="N235" s="58">
        <f>IF($A235="","",IFERROR(INDEX(Baseline!$D$20:$D$49,MATCH($C235,Baseline!$A$20:$A$49,0)),""))</f>
        <v/>
      </c>
      <c r="O235" s="58">
        <f>IF($A235="","",IFERROR(INDEX(Baseline!$F$20:$F$49,MATCH($C235,Baseline!$A$20:$A$49,0)),0))</f>
        <v/>
      </c>
      <c r="P235" s="58">
        <f>IF($A235="","",IFERROR(INDEX(Baseline!$G$20:$G$49,MATCH($C235,Baseline!$A$20:$A$49,0)),"RED"))</f>
        <v/>
      </c>
      <c r="Q235" s="58">
        <f>IF($A235="","",$A235&amp;"|"&amp;$B235&amp;"|"&amp;$C235)</f>
        <v/>
      </c>
      <c r="R235" s="59" t="n"/>
      <c r="S235" s="60" t="n"/>
    </row>
    <row r="236" ht="15" customHeight="1" s="34">
      <c r="A236" s="54" t="n"/>
      <c r="B236" s="54" t="n"/>
      <c r="C236" s="54" t="n"/>
      <c r="D236" s="55">
        <f>IF($A236="","",IFERROR(INDEX(Baseline!$B$20:$B$49,MATCH($C236,Baseline!$A$20:$A$49,0)),"Line not in baseline"))</f>
        <v/>
      </c>
      <c r="E236" s="55">
        <f>IF($A236="","",IFERROR(INDEX(Baseline!$C$20:$C$49,MATCH($C236,Baseline!$A$20:$A$49,0)),""))</f>
        <v/>
      </c>
      <c r="F236" s="56">
        <f>IF($A236="","",IFERROR(INDEX(Baseline!$E$20:$E$49,MATCH($C236,Baseline!$A$20:$A$49,0)),""))</f>
        <v/>
      </c>
      <c r="G236" s="57" t="n"/>
      <c r="H236" s="54" t="n"/>
      <c r="I236" s="54" t="n"/>
      <c r="J236" s="39">
        <f>IF($A236="","",IF($E236="Informational","GREEN",IF($G236="",IF($E236="Mandatory","RED","YELLOW"),IF($N236="Exact",IF(UPPER(TRIM($G236&amp;""))=UPPER(TRIM($F236&amp;"")),"GREEN",$P236),IF(NOT(ISNUMBER($G236)),$P236,IF($N236="Min",IF($G236&gt;=$F236,"GREEN",IF($G236&gt;=$F236-$O236,"YELLOW",$P236)),IF($N236="Max",IF($G236&lt;=$F236,"GREEN",IF($G236&lt;=$F236+$O236,"YELLOW",$P236)),IF($N236="Range",IF(ABS($G236-$F236)&lt;=$O236,"GREEN",$P236),"CHECK RULE"))))))))</f>
        <v/>
      </c>
      <c r="K236" s="39">
        <f>IF($A236="","",IF($H236="Non-Compliant","RED",IF(AND(OR($H236="Alternative Offer",$H236="Partially Compliant"),$J236="GREEN"),"YELLOW",IF(AND($J236="GREEN",ISNUMBER($R236),$R236&lt;Baseline!$B$9),"YELLOW",$J236))))</f>
        <v/>
      </c>
      <c r="L236" s="39">
        <f>IF($A236="","",IF($K236="GREEN","GREEN",IF(COUNTIFS(Exceptions!$B$5:$B$104,$A236,Exceptions!$C$5:$C$104,$B236,Exceptions!$D$5:$D$104,$C236,Exceptions!$G$5:$G$104,"Accepted",Exceptions!$H$5:$H$104,"&lt;&gt;")&gt;0,"CLEARED",$K236)))</f>
        <v/>
      </c>
      <c r="M236" s="39">
        <f>IF($A236="","",IF($H236="","Declaration missing",IF($H236="Not Stated","Not stated in quotation",IF(AND(ISNUMBER($R236),$R236&lt;Baseline!$B$9),"Low AI confidence - verify",IF(AND($H236="Fully Compliant",$J236&lt;&gt;"GREEN"),"Declared Fully - evidence differs","")))))</f>
        <v/>
      </c>
      <c r="N236" s="58">
        <f>IF($A236="","",IFERROR(INDEX(Baseline!$D$20:$D$49,MATCH($C236,Baseline!$A$20:$A$49,0)),""))</f>
        <v/>
      </c>
      <c r="O236" s="58">
        <f>IF($A236="","",IFERROR(INDEX(Baseline!$F$20:$F$49,MATCH($C236,Baseline!$A$20:$A$49,0)),0))</f>
        <v/>
      </c>
      <c r="P236" s="58">
        <f>IF($A236="","",IFERROR(INDEX(Baseline!$G$20:$G$49,MATCH($C236,Baseline!$A$20:$A$49,0)),"RED"))</f>
        <v/>
      </c>
      <c r="Q236" s="58">
        <f>IF($A236="","",$A236&amp;"|"&amp;$B236&amp;"|"&amp;$C236)</f>
        <v/>
      </c>
      <c r="R236" s="59" t="n"/>
      <c r="S236" s="60" t="n"/>
    </row>
    <row r="237" ht="15" customHeight="1" s="34">
      <c r="A237" s="54" t="n"/>
      <c r="B237" s="54" t="n"/>
      <c r="C237" s="54" t="n"/>
      <c r="D237" s="55">
        <f>IF($A237="","",IFERROR(INDEX(Baseline!$B$20:$B$49,MATCH($C237,Baseline!$A$20:$A$49,0)),"Line not in baseline"))</f>
        <v/>
      </c>
      <c r="E237" s="55">
        <f>IF($A237="","",IFERROR(INDEX(Baseline!$C$20:$C$49,MATCH($C237,Baseline!$A$20:$A$49,0)),""))</f>
        <v/>
      </c>
      <c r="F237" s="56">
        <f>IF($A237="","",IFERROR(INDEX(Baseline!$E$20:$E$49,MATCH($C237,Baseline!$A$20:$A$49,0)),""))</f>
        <v/>
      </c>
      <c r="G237" s="57" t="n"/>
      <c r="H237" s="54" t="n"/>
      <c r="I237" s="54" t="n"/>
      <c r="J237" s="39">
        <f>IF($A237="","",IF($E237="Informational","GREEN",IF($G237="",IF($E237="Mandatory","RED","YELLOW"),IF($N237="Exact",IF(UPPER(TRIM($G237&amp;""))=UPPER(TRIM($F237&amp;"")),"GREEN",$P237),IF(NOT(ISNUMBER($G237)),$P237,IF($N237="Min",IF($G237&gt;=$F237,"GREEN",IF($G237&gt;=$F237-$O237,"YELLOW",$P237)),IF($N237="Max",IF($G237&lt;=$F237,"GREEN",IF($G237&lt;=$F237+$O237,"YELLOW",$P237)),IF($N237="Range",IF(ABS($G237-$F237)&lt;=$O237,"GREEN",$P237),"CHECK RULE"))))))))</f>
        <v/>
      </c>
      <c r="K237" s="39">
        <f>IF($A237="","",IF($H237="Non-Compliant","RED",IF(AND(OR($H237="Alternative Offer",$H237="Partially Compliant"),$J237="GREEN"),"YELLOW",IF(AND($J237="GREEN",ISNUMBER($R237),$R237&lt;Baseline!$B$9),"YELLOW",$J237))))</f>
        <v/>
      </c>
      <c r="L237" s="39">
        <f>IF($A237="","",IF($K237="GREEN","GREEN",IF(COUNTIFS(Exceptions!$B$5:$B$104,$A237,Exceptions!$C$5:$C$104,$B237,Exceptions!$D$5:$D$104,$C237,Exceptions!$G$5:$G$104,"Accepted",Exceptions!$H$5:$H$104,"&lt;&gt;")&gt;0,"CLEARED",$K237)))</f>
        <v/>
      </c>
      <c r="M237" s="39">
        <f>IF($A237="","",IF($H237="","Declaration missing",IF($H237="Not Stated","Not stated in quotation",IF(AND(ISNUMBER($R237),$R237&lt;Baseline!$B$9),"Low AI confidence - verify",IF(AND($H237="Fully Compliant",$J237&lt;&gt;"GREEN"),"Declared Fully - evidence differs","")))))</f>
        <v/>
      </c>
      <c r="N237" s="58">
        <f>IF($A237="","",IFERROR(INDEX(Baseline!$D$20:$D$49,MATCH($C237,Baseline!$A$20:$A$49,0)),""))</f>
        <v/>
      </c>
      <c r="O237" s="58">
        <f>IF($A237="","",IFERROR(INDEX(Baseline!$F$20:$F$49,MATCH($C237,Baseline!$A$20:$A$49,0)),0))</f>
        <v/>
      </c>
      <c r="P237" s="58">
        <f>IF($A237="","",IFERROR(INDEX(Baseline!$G$20:$G$49,MATCH($C237,Baseline!$A$20:$A$49,0)),"RED"))</f>
        <v/>
      </c>
      <c r="Q237" s="58">
        <f>IF($A237="","",$A237&amp;"|"&amp;$B237&amp;"|"&amp;$C237)</f>
        <v/>
      </c>
      <c r="R237" s="59" t="n"/>
      <c r="S237" s="60" t="n"/>
    </row>
    <row r="238" ht="15" customHeight="1" s="34">
      <c r="A238" s="54" t="n"/>
      <c r="B238" s="54" t="n"/>
      <c r="C238" s="54" t="n"/>
      <c r="D238" s="55">
        <f>IF($A238="","",IFERROR(INDEX(Baseline!$B$20:$B$49,MATCH($C238,Baseline!$A$20:$A$49,0)),"Line not in baseline"))</f>
        <v/>
      </c>
      <c r="E238" s="55">
        <f>IF($A238="","",IFERROR(INDEX(Baseline!$C$20:$C$49,MATCH($C238,Baseline!$A$20:$A$49,0)),""))</f>
        <v/>
      </c>
      <c r="F238" s="56">
        <f>IF($A238="","",IFERROR(INDEX(Baseline!$E$20:$E$49,MATCH($C238,Baseline!$A$20:$A$49,0)),""))</f>
        <v/>
      </c>
      <c r="G238" s="57" t="n"/>
      <c r="H238" s="54" t="n"/>
      <c r="I238" s="54" t="n"/>
      <c r="J238" s="39">
        <f>IF($A238="","",IF($E238="Informational","GREEN",IF($G238="",IF($E238="Mandatory","RED","YELLOW"),IF($N238="Exact",IF(UPPER(TRIM($G238&amp;""))=UPPER(TRIM($F238&amp;"")),"GREEN",$P238),IF(NOT(ISNUMBER($G238)),$P238,IF($N238="Min",IF($G238&gt;=$F238,"GREEN",IF($G238&gt;=$F238-$O238,"YELLOW",$P238)),IF($N238="Max",IF($G238&lt;=$F238,"GREEN",IF($G238&lt;=$F238+$O238,"YELLOW",$P238)),IF($N238="Range",IF(ABS($G238-$F238)&lt;=$O238,"GREEN",$P238),"CHECK RULE"))))))))</f>
        <v/>
      </c>
      <c r="K238" s="39">
        <f>IF($A238="","",IF($H238="Non-Compliant","RED",IF(AND(OR($H238="Alternative Offer",$H238="Partially Compliant"),$J238="GREEN"),"YELLOW",IF(AND($J238="GREEN",ISNUMBER($R238),$R238&lt;Baseline!$B$9),"YELLOW",$J238))))</f>
        <v/>
      </c>
      <c r="L238" s="39">
        <f>IF($A238="","",IF($K238="GREEN","GREEN",IF(COUNTIFS(Exceptions!$B$5:$B$104,$A238,Exceptions!$C$5:$C$104,$B238,Exceptions!$D$5:$D$104,$C238,Exceptions!$G$5:$G$104,"Accepted",Exceptions!$H$5:$H$104,"&lt;&gt;")&gt;0,"CLEARED",$K238)))</f>
        <v/>
      </c>
      <c r="M238" s="39">
        <f>IF($A238="","",IF($H238="","Declaration missing",IF($H238="Not Stated","Not stated in quotation",IF(AND(ISNUMBER($R238),$R238&lt;Baseline!$B$9),"Low AI confidence - verify",IF(AND($H238="Fully Compliant",$J238&lt;&gt;"GREEN"),"Declared Fully - evidence differs","")))))</f>
        <v/>
      </c>
      <c r="N238" s="58">
        <f>IF($A238="","",IFERROR(INDEX(Baseline!$D$20:$D$49,MATCH($C238,Baseline!$A$20:$A$49,0)),""))</f>
        <v/>
      </c>
      <c r="O238" s="58">
        <f>IF($A238="","",IFERROR(INDEX(Baseline!$F$20:$F$49,MATCH($C238,Baseline!$A$20:$A$49,0)),0))</f>
        <v/>
      </c>
      <c r="P238" s="58">
        <f>IF($A238="","",IFERROR(INDEX(Baseline!$G$20:$G$49,MATCH($C238,Baseline!$A$20:$A$49,0)),"RED"))</f>
        <v/>
      </c>
      <c r="Q238" s="58">
        <f>IF($A238="","",$A238&amp;"|"&amp;$B238&amp;"|"&amp;$C238)</f>
        <v/>
      </c>
      <c r="R238" s="59" t="n"/>
      <c r="S238" s="60" t="n"/>
    </row>
    <row r="239" ht="15" customHeight="1" s="34">
      <c r="A239" s="54" t="n"/>
      <c r="B239" s="54" t="n"/>
      <c r="C239" s="54" t="n"/>
      <c r="D239" s="55">
        <f>IF($A239="","",IFERROR(INDEX(Baseline!$B$20:$B$49,MATCH($C239,Baseline!$A$20:$A$49,0)),"Line not in baseline"))</f>
        <v/>
      </c>
      <c r="E239" s="55">
        <f>IF($A239="","",IFERROR(INDEX(Baseline!$C$20:$C$49,MATCH($C239,Baseline!$A$20:$A$49,0)),""))</f>
        <v/>
      </c>
      <c r="F239" s="56">
        <f>IF($A239="","",IFERROR(INDEX(Baseline!$E$20:$E$49,MATCH($C239,Baseline!$A$20:$A$49,0)),""))</f>
        <v/>
      </c>
      <c r="G239" s="57" t="n"/>
      <c r="H239" s="54" t="n"/>
      <c r="I239" s="54" t="n"/>
      <c r="J239" s="39">
        <f>IF($A239="","",IF($E239="Informational","GREEN",IF($G239="",IF($E239="Mandatory","RED","YELLOW"),IF($N239="Exact",IF(UPPER(TRIM($G239&amp;""))=UPPER(TRIM($F239&amp;"")),"GREEN",$P239),IF(NOT(ISNUMBER($G239)),$P239,IF($N239="Min",IF($G239&gt;=$F239,"GREEN",IF($G239&gt;=$F239-$O239,"YELLOW",$P239)),IF($N239="Max",IF($G239&lt;=$F239,"GREEN",IF($G239&lt;=$F239+$O239,"YELLOW",$P239)),IF($N239="Range",IF(ABS($G239-$F239)&lt;=$O239,"GREEN",$P239),"CHECK RULE"))))))))</f>
        <v/>
      </c>
      <c r="K239" s="39">
        <f>IF($A239="","",IF($H239="Non-Compliant","RED",IF(AND(OR($H239="Alternative Offer",$H239="Partially Compliant"),$J239="GREEN"),"YELLOW",IF(AND($J239="GREEN",ISNUMBER($R239),$R239&lt;Baseline!$B$9),"YELLOW",$J239))))</f>
        <v/>
      </c>
      <c r="L239" s="39">
        <f>IF($A239="","",IF($K239="GREEN","GREEN",IF(COUNTIFS(Exceptions!$B$5:$B$104,$A239,Exceptions!$C$5:$C$104,$B239,Exceptions!$D$5:$D$104,$C239,Exceptions!$G$5:$G$104,"Accepted",Exceptions!$H$5:$H$104,"&lt;&gt;")&gt;0,"CLEARED",$K239)))</f>
        <v/>
      </c>
      <c r="M239" s="39">
        <f>IF($A239="","",IF($H239="","Declaration missing",IF($H239="Not Stated","Not stated in quotation",IF(AND(ISNUMBER($R239),$R239&lt;Baseline!$B$9),"Low AI confidence - verify",IF(AND($H239="Fully Compliant",$J239&lt;&gt;"GREEN"),"Declared Fully - evidence differs","")))))</f>
        <v/>
      </c>
      <c r="N239" s="58">
        <f>IF($A239="","",IFERROR(INDEX(Baseline!$D$20:$D$49,MATCH($C239,Baseline!$A$20:$A$49,0)),""))</f>
        <v/>
      </c>
      <c r="O239" s="58">
        <f>IF($A239="","",IFERROR(INDEX(Baseline!$F$20:$F$49,MATCH($C239,Baseline!$A$20:$A$49,0)),0))</f>
        <v/>
      </c>
      <c r="P239" s="58">
        <f>IF($A239="","",IFERROR(INDEX(Baseline!$G$20:$G$49,MATCH($C239,Baseline!$A$20:$A$49,0)),"RED"))</f>
        <v/>
      </c>
      <c r="Q239" s="58">
        <f>IF($A239="","",$A239&amp;"|"&amp;$B239&amp;"|"&amp;$C239)</f>
        <v/>
      </c>
      <c r="R239" s="59" t="n"/>
      <c r="S239" s="60" t="n"/>
    </row>
    <row r="240" ht="15" customHeight="1" s="34">
      <c r="A240" s="54" t="n"/>
      <c r="B240" s="54" t="n"/>
      <c r="C240" s="54" t="n"/>
      <c r="D240" s="55">
        <f>IF($A240="","",IFERROR(INDEX(Baseline!$B$20:$B$49,MATCH($C240,Baseline!$A$20:$A$49,0)),"Line not in baseline"))</f>
        <v/>
      </c>
      <c r="E240" s="55">
        <f>IF($A240="","",IFERROR(INDEX(Baseline!$C$20:$C$49,MATCH($C240,Baseline!$A$20:$A$49,0)),""))</f>
        <v/>
      </c>
      <c r="F240" s="56">
        <f>IF($A240="","",IFERROR(INDEX(Baseline!$E$20:$E$49,MATCH($C240,Baseline!$A$20:$A$49,0)),""))</f>
        <v/>
      </c>
      <c r="G240" s="57" t="n"/>
      <c r="H240" s="54" t="n"/>
      <c r="I240" s="54" t="n"/>
      <c r="J240" s="39">
        <f>IF($A240="","",IF($E240="Informational","GREEN",IF($G240="",IF($E240="Mandatory","RED","YELLOW"),IF($N240="Exact",IF(UPPER(TRIM($G240&amp;""))=UPPER(TRIM($F240&amp;"")),"GREEN",$P240),IF(NOT(ISNUMBER($G240)),$P240,IF($N240="Min",IF($G240&gt;=$F240,"GREEN",IF($G240&gt;=$F240-$O240,"YELLOW",$P240)),IF($N240="Max",IF($G240&lt;=$F240,"GREEN",IF($G240&lt;=$F240+$O240,"YELLOW",$P240)),IF($N240="Range",IF(ABS($G240-$F240)&lt;=$O240,"GREEN",$P240),"CHECK RULE"))))))))</f>
        <v/>
      </c>
      <c r="K240" s="39">
        <f>IF($A240="","",IF($H240="Non-Compliant","RED",IF(AND(OR($H240="Alternative Offer",$H240="Partially Compliant"),$J240="GREEN"),"YELLOW",IF(AND($J240="GREEN",ISNUMBER($R240),$R240&lt;Baseline!$B$9),"YELLOW",$J240))))</f>
        <v/>
      </c>
      <c r="L240" s="39">
        <f>IF($A240="","",IF($K240="GREEN","GREEN",IF(COUNTIFS(Exceptions!$B$5:$B$104,$A240,Exceptions!$C$5:$C$104,$B240,Exceptions!$D$5:$D$104,$C240,Exceptions!$G$5:$G$104,"Accepted",Exceptions!$H$5:$H$104,"&lt;&gt;")&gt;0,"CLEARED",$K240)))</f>
        <v/>
      </c>
      <c r="M240" s="39">
        <f>IF($A240="","",IF($H240="","Declaration missing",IF($H240="Not Stated","Not stated in quotation",IF(AND(ISNUMBER($R240),$R240&lt;Baseline!$B$9),"Low AI confidence - verify",IF(AND($H240="Fully Compliant",$J240&lt;&gt;"GREEN"),"Declared Fully - evidence differs","")))))</f>
        <v/>
      </c>
      <c r="N240" s="58">
        <f>IF($A240="","",IFERROR(INDEX(Baseline!$D$20:$D$49,MATCH($C240,Baseline!$A$20:$A$49,0)),""))</f>
        <v/>
      </c>
      <c r="O240" s="58">
        <f>IF($A240="","",IFERROR(INDEX(Baseline!$F$20:$F$49,MATCH($C240,Baseline!$A$20:$A$49,0)),0))</f>
        <v/>
      </c>
      <c r="P240" s="58">
        <f>IF($A240="","",IFERROR(INDEX(Baseline!$G$20:$G$49,MATCH($C240,Baseline!$A$20:$A$49,0)),"RED"))</f>
        <v/>
      </c>
      <c r="Q240" s="58">
        <f>IF($A240="","",$A240&amp;"|"&amp;$B240&amp;"|"&amp;$C240)</f>
        <v/>
      </c>
      <c r="R240" s="59" t="n"/>
      <c r="S240" s="60" t="n"/>
    </row>
    <row r="241" ht="15" customHeight="1" s="34">
      <c r="A241" s="54" t="n"/>
      <c r="B241" s="54" t="n"/>
      <c r="C241" s="54" t="n"/>
      <c r="D241" s="55">
        <f>IF($A241="","",IFERROR(INDEX(Baseline!$B$20:$B$49,MATCH($C241,Baseline!$A$20:$A$49,0)),"Line not in baseline"))</f>
        <v/>
      </c>
      <c r="E241" s="55">
        <f>IF($A241="","",IFERROR(INDEX(Baseline!$C$20:$C$49,MATCH($C241,Baseline!$A$20:$A$49,0)),""))</f>
        <v/>
      </c>
      <c r="F241" s="56">
        <f>IF($A241="","",IFERROR(INDEX(Baseline!$E$20:$E$49,MATCH($C241,Baseline!$A$20:$A$49,0)),""))</f>
        <v/>
      </c>
      <c r="G241" s="57" t="n"/>
      <c r="H241" s="54" t="n"/>
      <c r="I241" s="54" t="n"/>
      <c r="J241" s="39">
        <f>IF($A241="","",IF($E241="Informational","GREEN",IF($G241="",IF($E241="Mandatory","RED","YELLOW"),IF($N241="Exact",IF(UPPER(TRIM($G241&amp;""))=UPPER(TRIM($F241&amp;"")),"GREEN",$P241),IF(NOT(ISNUMBER($G241)),$P241,IF($N241="Min",IF($G241&gt;=$F241,"GREEN",IF($G241&gt;=$F241-$O241,"YELLOW",$P241)),IF($N241="Max",IF($G241&lt;=$F241,"GREEN",IF($G241&lt;=$F241+$O241,"YELLOW",$P241)),IF($N241="Range",IF(ABS($G241-$F241)&lt;=$O241,"GREEN",$P241),"CHECK RULE"))))))))</f>
        <v/>
      </c>
      <c r="K241" s="39">
        <f>IF($A241="","",IF($H241="Non-Compliant","RED",IF(AND(OR($H241="Alternative Offer",$H241="Partially Compliant"),$J241="GREEN"),"YELLOW",IF(AND($J241="GREEN",ISNUMBER($R241),$R241&lt;Baseline!$B$9),"YELLOW",$J241))))</f>
        <v/>
      </c>
      <c r="L241" s="39">
        <f>IF($A241="","",IF($K241="GREEN","GREEN",IF(COUNTIFS(Exceptions!$B$5:$B$104,$A241,Exceptions!$C$5:$C$104,$B241,Exceptions!$D$5:$D$104,$C241,Exceptions!$G$5:$G$104,"Accepted",Exceptions!$H$5:$H$104,"&lt;&gt;")&gt;0,"CLEARED",$K241)))</f>
        <v/>
      </c>
      <c r="M241" s="39">
        <f>IF($A241="","",IF($H241="","Declaration missing",IF($H241="Not Stated","Not stated in quotation",IF(AND(ISNUMBER($R241),$R241&lt;Baseline!$B$9),"Low AI confidence - verify",IF(AND($H241="Fully Compliant",$J241&lt;&gt;"GREEN"),"Declared Fully - evidence differs","")))))</f>
        <v/>
      </c>
      <c r="N241" s="58">
        <f>IF($A241="","",IFERROR(INDEX(Baseline!$D$20:$D$49,MATCH($C241,Baseline!$A$20:$A$49,0)),""))</f>
        <v/>
      </c>
      <c r="O241" s="58">
        <f>IF($A241="","",IFERROR(INDEX(Baseline!$F$20:$F$49,MATCH($C241,Baseline!$A$20:$A$49,0)),0))</f>
        <v/>
      </c>
      <c r="P241" s="58">
        <f>IF($A241="","",IFERROR(INDEX(Baseline!$G$20:$G$49,MATCH($C241,Baseline!$A$20:$A$49,0)),"RED"))</f>
        <v/>
      </c>
      <c r="Q241" s="58">
        <f>IF($A241="","",$A241&amp;"|"&amp;$B241&amp;"|"&amp;$C241)</f>
        <v/>
      </c>
      <c r="R241" s="59" t="n"/>
      <c r="S241" s="60" t="n"/>
    </row>
    <row r="242" ht="15" customHeight="1" s="34">
      <c r="A242" s="54" t="n"/>
      <c r="B242" s="54" t="n"/>
      <c r="C242" s="54" t="n"/>
      <c r="D242" s="55">
        <f>IF($A242="","",IFERROR(INDEX(Baseline!$B$20:$B$49,MATCH($C242,Baseline!$A$20:$A$49,0)),"Line not in baseline"))</f>
        <v/>
      </c>
      <c r="E242" s="55">
        <f>IF($A242="","",IFERROR(INDEX(Baseline!$C$20:$C$49,MATCH($C242,Baseline!$A$20:$A$49,0)),""))</f>
        <v/>
      </c>
      <c r="F242" s="56">
        <f>IF($A242="","",IFERROR(INDEX(Baseline!$E$20:$E$49,MATCH($C242,Baseline!$A$20:$A$49,0)),""))</f>
        <v/>
      </c>
      <c r="G242" s="57" t="n"/>
      <c r="H242" s="54" t="n"/>
      <c r="I242" s="54" t="n"/>
      <c r="J242" s="39">
        <f>IF($A242="","",IF($E242="Informational","GREEN",IF($G242="",IF($E242="Mandatory","RED","YELLOW"),IF($N242="Exact",IF(UPPER(TRIM($G242&amp;""))=UPPER(TRIM($F242&amp;"")),"GREEN",$P242),IF(NOT(ISNUMBER($G242)),$P242,IF($N242="Min",IF($G242&gt;=$F242,"GREEN",IF($G242&gt;=$F242-$O242,"YELLOW",$P242)),IF($N242="Max",IF($G242&lt;=$F242,"GREEN",IF($G242&lt;=$F242+$O242,"YELLOW",$P242)),IF($N242="Range",IF(ABS($G242-$F242)&lt;=$O242,"GREEN",$P242),"CHECK RULE"))))))))</f>
        <v/>
      </c>
      <c r="K242" s="39">
        <f>IF($A242="","",IF($H242="Non-Compliant","RED",IF(AND(OR($H242="Alternative Offer",$H242="Partially Compliant"),$J242="GREEN"),"YELLOW",IF(AND($J242="GREEN",ISNUMBER($R242),$R242&lt;Baseline!$B$9),"YELLOW",$J242))))</f>
        <v/>
      </c>
      <c r="L242" s="39">
        <f>IF($A242="","",IF($K242="GREEN","GREEN",IF(COUNTIFS(Exceptions!$B$5:$B$104,$A242,Exceptions!$C$5:$C$104,$B242,Exceptions!$D$5:$D$104,$C242,Exceptions!$G$5:$G$104,"Accepted",Exceptions!$H$5:$H$104,"&lt;&gt;")&gt;0,"CLEARED",$K242)))</f>
        <v/>
      </c>
      <c r="M242" s="39">
        <f>IF($A242="","",IF($H242="","Declaration missing",IF($H242="Not Stated","Not stated in quotation",IF(AND(ISNUMBER($R242),$R242&lt;Baseline!$B$9),"Low AI confidence - verify",IF(AND($H242="Fully Compliant",$J242&lt;&gt;"GREEN"),"Declared Fully - evidence differs","")))))</f>
        <v/>
      </c>
      <c r="N242" s="58">
        <f>IF($A242="","",IFERROR(INDEX(Baseline!$D$20:$D$49,MATCH($C242,Baseline!$A$20:$A$49,0)),""))</f>
        <v/>
      </c>
      <c r="O242" s="58">
        <f>IF($A242="","",IFERROR(INDEX(Baseline!$F$20:$F$49,MATCH($C242,Baseline!$A$20:$A$49,0)),0))</f>
        <v/>
      </c>
      <c r="P242" s="58">
        <f>IF($A242="","",IFERROR(INDEX(Baseline!$G$20:$G$49,MATCH($C242,Baseline!$A$20:$A$49,0)),"RED"))</f>
        <v/>
      </c>
      <c r="Q242" s="58">
        <f>IF($A242="","",$A242&amp;"|"&amp;$B242&amp;"|"&amp;$C242)</f>
        <v/>
      </c>
      <c r="R242" s="59" t="n"/>
      <c r="S242" s="60" t="n"/>
    </row>
    <row r="243" ht="15" customHeight="1" s="34">
      <c r="A243" s="54" t="n"/>
      <c r="B243" s="54" t="n"/>
      <c r="C243" s="54" t="n"/>
      <c r="D243" s="55">
        <f>IF($A243="","",IFERROR(INDEX(Baseline!$B$20:$B$49,MATCH($C243,Baseline!$A$20:$A$49,0)),"Line not in baseline"))</f>
        <v/>
      </c>
      <c r="E243" s="55">
        <f>IF($A243="","",IFERROR(INDEX(Baseline!$C$20:$C$49,MATCH($C243,Baseline!$A$20:$A$49,0)),""))</f>
        <v/>
      </c>
      <c r="F243" s="56">
        <f>IF($A243="","",IFERROR(INDEX(Baseline!$E$20:$E$49,MATCH($C243,Baseline!$A$20:$A$49,0)),""))</f>
        <v/>
      </c>
      <c r="G243" s="57" t="n"/>
      <c r="H243" s="54" t="n"/>
      <c r="I243" s="54" t="n"/>
      <c r="J243" s="39">
        <f>IF($A243="","",IF($E243="Informational","GREEN",IF($G243="",IF($E243="Mandatory","RED","YELLOW"),IF($N243="Exact",IF(UPPER(TRIM($G243&amp;""))=UPPER(TRIM($F243&amp;"")),"GREEN",$P243),IF(NOT(ISNUMBER($G243)),$P243,IF($N243="Min",IF($G243&gt;=$F243,"GREEN",IF($G243&gt;=$F243-$O243,"YELLOW",$P243)),IF($N243="Max",IF($G243&lt;=$F243,"GREEN",IF($G243&lt;=$F243+$O243,"YELLOW",$P243)),IF($N243="Range",IF(ABS($G243-$F243)&lt;=$O243,"GREEN",$P243),"CHECK RULE"))))))))</f>
        <v/>
      </c>
      <c r="K243" s="39">
        <f>IF($A243="","",IF($H243="Non-Compliant","RED",IF(AND(OR($H243="Alternative Offer",$H243="Partially Compliant"),$J243="GREEN"),"YELLOW",IF(AND($J243="GREEN",ISNUMBER($R243),$R243&lt;Baseline!$B$9),"YELLOW",$J243))))</f>
        <v/>
      </c>
      <c r="L243" s="39">
        <f>IF($A243="","",IF($K243="GREEN","GREEN",IF(COUNTIFS(Exceptions!$B$5:$B$104,$A243,Exceptions!$C$5:$C$104,$B243,Exceptions!$D$5:$D$104,$C243,Exceptions!$G$5:$G$104,"Accepted",Exceptions!$H$5:$H$104,"&lt;&gt;")&gt;0,"CLEARED",$K243)))</f>
        <v/>
      </c>
      <c r="M243" s="39">
        <f>IF($A243="","",IF($H243="","Declaration missing",IF($H243="Not Stated","Not stated in quotation",IF(AND(ISNUMBER($R243),$R243&lt;Baseline!$B$9),"Low AI confidence - verify",IF(AND($H243="Fully Compliant",$J243&lt;&gt;"GREEN"),"Declared Fully - evidence differs","")))))</f>
        <v/>
      </c>
      <c r="N243" s="58">
        <f>IF($A243="","",IFERROR(INDEX(Baseline!$D$20:$D$49,MATCH($C243,Baseline!$A$20:$A$49,0)),""))</f>
        <v/>
      </c>
      <c r="O243" s="58">
        <f>IF($A243="","",IFERROR(INDEX(Baseline!$F$20:$F$49,MATCH($C243,Baseline!$A$20:$A$49,0)),0))</f>
        <v/>
      </c>
      <c r="P243" s="58">
        <f>IF($A243="","",IFERROR(INDEX(Baseline!$G$20:$G$49,MATCH($C243,Baseline!$A$20:$A$49,0)),"RED"))</f>
        <v/>
      </c>
      <c r="Q243" s="58">
        <f>IF($A243="","",$A243&amp;"|"&amp;$B243&amp;"|"&amp;$C243)</f>
        <v/>
      </c>
      <c r="R243" s="59" t="n"/>
      <c r="S243" s="60" t="n"/>
    </row>
    <row r="244" ht="15" customHeight="1" s="34">
      <c r="A244" s="54" t="n"/>
      <c r="B244" s="54" t="n"/>
      <c r="C244" s="54" t="n"/>
      <c r="D244" s="55">
        <f>IF($A244="","",IFERROR(INDEX(Baseline!$B$20:$B$49,MATCH($C244,Baseline!$A$20:$A$49,0)),"Line not in baseline"))</f>
        <v/>
      </c>
      <c r="E244" s="55">
        <f>IF($A244="","",IFERROR(INDEX(Baseline!$C$20:$C$49,MATCH($C244,Baseline!$A$20:$A$49,0)),""))</f>
        <v/>
      </c>
      <c r="F244" s="56">
        <f>IF($A244="","",IFERROR(INDEX(Baseline!$E$20:$E$49,MATCH($C244,Baseline!$A$20:$A$49,0)),""))</f>
        <v/>
      </c>
      <c r="G244" s="57" t="n"/>
      <c r="H244" s="54" t="n"/>
      <c r="I244" s="54" t="n"/>
      <c r="J244" s="39">
        <f>IF($A244="","",IF($E244="Informational","GREEN",IF($G244="",IF($E244="Mandatory","RED","YELLOW"),IF($N244="Exact",IF(UPPER(TRIM($G244&amp;""))=UPPER(TRIM($F244&amp;"")),"GREEN",$P244),IF(NOT(ISNUMBER($G244)),$P244,IF($N244="Min",IF($G244&gt;=$F244,"GREEN",IF($G244&gt;=$F244-$O244,"YELLOW",$P244)),IF($N244="Max",IF($G244&lt;=$F244,"GREEN",IF($G244&lt;=$F244+$O244,"YELLOW",$P244)),IF($N244="Range",IF(ABS($G244-$F244)&lt;=$O244,"GREEN",$P244),"CHECK RULE"))))))))</f>
        <v/>
      </c>
      <c r="K244" s="39">
        <f>IF($A244="","",IF($H244="Non-Compliant","RED",IF(AND(OR($H244="Alternative Offer",$H244="Partially Compliant"),$J244="GREEN"),"YELLOW",IF(AND($J244="GREEN",ISNUMBER($R244),$R244&lt;Baseline!$B$9),"YELLOW",$J244))))</f>
        <v/>
      </c>
      <c r="L244" s="39">
        <f>IF($A244="","",IF($K244="GREEN","GREEN",IF(COUNTIFS(Exceptions!$B$5:$B$104,$A244,Exceptions!$C$5:$C$104,$B244,Exceptions!$D$5:$D$104,$C244,Exceptions!$G$5:$G$104,"Accepted",Exceptions!$H$5:$H$104,"&lt;&gt;")&gt;0,"CLEARED",$K244)))</f>
        <v/>
      </c>
      <c r="M244" s="39">
        <f>IF($A244="","",IF($H244="","Declaration missing",IF($H244="Not Stated","Not stated in quotation",IF(AND(ISNUMBER($R244),$R244&lt;Baseline!$B$9),"Low AI confidence - verify",IF(AND($H244="Fully Compliant",$J244&lt;&gt;"GREEN"),"Declared Fully - evidence differs","")))))</f>
        <v/>
      </c>
      <c r="N244" s="58">
        <f>IF($A244="","",IFERROR(INDEX(Baseline!$D$20:$D$49,MATCH($C244,Baseline!$A$20:$A$49,0)),""))</f>
        <v/>
      </c>
      <c r="O244" s="58">
        <f>IF($A244="","",IFERROR(INDEX(Baseline!$F$20:$F$49,MATCH($C244,Baseline!$A$20:$A$49,0)),0))</f>
        <v/>
      </c>
      <c r="P244" s="58">
        <f>IF($A244="","",IFERROR(INDEX(Baseline!$G$20:$G$49,MATCH($C244,Baseline!$A$20:$A$49,0)),"RED"))</f>
        <v/>
      </c>
      <c r="Q244" s="58">
        <f>IF($A244="","",$A244&amp;"|"&amp;$B244&amp;"|"&amp;$C244)</f>
        <v/>
      </c>
      <c r="R244" s="59" t="n"/>
      <c r="S244" s="60" t="n"/>
    </row>
    <row r="245" ht="15" customHeight="1" s="34">
      <c r="A245" s="54" t="n"/>
      <c r="B245" s="54" t="n"/>
      <c r="C245" s="54" t="n"/>
      <c r="D245" s="55">
        <f>IF($A245="","",IFERROR(INDEX(Baseline!$B$20:$B$49,MATCH($C245,Baseline!$A$20:$A$49,0)),"Line not in baseline"))</f>
        <v/>
      </c>
      <c r="E245" s="55">
        <f>IF($A245="","",IFERROR(INDEX(Baseline!$C$20:$C$49,MATCH($C245,Baseline!$A$20:$A$49,0)),""))</f>
        <v/>
      </c>
      <c r="F245" s="56">
        <f>IF($A245="","",IFERROR(INDEX(Baseline!$E$20:$E$49,MATCH($C245,Baseline!$A$20:$A$49,0)),""))</f>
        <v/>
      </c>
      <c r="G245" s="57" t="n"/>
      <c r="H245" s="54" t="n"/>
      <c r="I245" s="54" t="n"/>
      <c r="J245" s="39">
        <f>IF($A245="","",IF($E245="Informational","GREEN",IF($G245="",IF($E245="Mandatory","RED","YELLOW"),IF($N245="Exact",IF(UPPER(TRIM($G245&amp;""))=UPPER(TRIM($F245&amp;"")),"GREEN",$P245),IF(NOT(ISNUMBER($G245)),$P245,IF($N245="Min",IF($G245&gt;=$F245,"GREEN",IF($G245&gt;=$F245-$O245,"YELLOW",$P245)),IF($N245="Max",IF($G245&lt;=$F245,"GREEN",IF($G245&lt;=$F245+$O245,"YELLOW",$P245)),IF($N245="Range",IF(ABS($G245-$F245)&lt;=$O245,"GREEN",$P245),"CHECK RULE"))))))))</f>
        <v/>
      </c>
      <c r="K245" s="39">
        <f>IF($A245="","",IF($H245="Non-Compliant","RED",IF(AND(OR($H245="Alternative Offer",$H245="Partially Compliant"),$J245="GREEN"),"YELLOW",IF(AND($J245="GREEN",ISNUMBER($R245),$R245&lt;Baseline!$B$9),"YELLOW",$J245))))</f>
        <v/>
      </c>
      <c r="L245" s="39">
        <f>IF($A245="","",IF($K245="GREEN","GREEN",IF(COUNTIFS(Exceptions!$B$5:$B$104,$A245,Exceptions!$C$5:$C$104,$B245,Exceptions!$D$5:$D$104,$C245,Exceptions!$G$5:$G$104,"Accepted",Exceptions!$H$5:$H$104,"&lt;&gt;")&gt;0,"CLEARED",$K245)))</f>
        <v/>
      </c>
      <c r="M245" s="39">
        <f>IF($A245="","",IF($H245="","Declaration missing",IF($H245="Not Stated","Not stated in quotation",IF(AND(ISNUMBER($R245),$R245&lt;Baseline!$B$9),"Low AI confidence - verify",IF(AND($H245="Fully Compliant",$J245&lt;&gt;"GREEN"),"Declared Fully - evidence differs","")))))</f>
        <v/>
      </c>
      <c r="N245" s="58">
        <f>IF($A245="","",IFERROR(INDEX(Baseline!$D$20:$D$49,MATCH($C245,Baseline!$A$20:$A$49,0)),""))</f>
        <v/>
      </c>
      <c r="O245" s="58">
        <f>IF($A245="","",IFERROR(INDEX(Baseline!$F$20:$F$49,MATCH($C245,Baseline!$A$20:$A$49,0)),0))</f>
        <v/>
      </c>
      <c r="P245" s="58">
        <f>IF($A245="","",IFERROR(INDEX(Baseline!$G$20:$G$49,MATCH($C245,Baseline!$A$20:$A$49,0)),"RED"))</f>
        <v/>
      </c>
      <c r="Q245" s="58">
        <f>IF($A245="","",$A245&amp;"|"&amp;$B245&amp;"|"&amp;$C245)</f>
        <v/>
      </c>
      <c r="R245" s="59" t="n"/>
      <c r="S245" s="60" t="n"/>
    </row>
    <row r="246" ht="15" customHeight="1" s="34">
      <c r="A246" s="54" t="n"/>
      <c r="B246" s="54" t="n"/>
      <c r="C246" s="54" t="n"/>
      <c r="D246" s="55">
        <f>IF($A246="","",IFERROR(INDEX(Baseline!$B$20:$B$49,MATCH($C246,Baseline!$A$20:$A$49,0)),"Line not in baseline"))</f>
        <v/>
      </c>
      <c r="E246" s="55">
        <f>IF($A246="","",IFERROR(INDEX(Baseline!$C$20:$C$49,MATCH($C246,Baseline!$A$20:$A$49,0)),""))</f>
        <v/>
      </c>
      <c r="F246" s="56">
        <f>IF($A246="","",IFERROR(INDEX(Baseline!$E$20:$E$49,MATCH($C246,Baseline!$A$20:$A$49,0)),""))</f>
        <v/>
      </c>
      <c r="G246" s="57" t="n"/>
      <c r="H246" s="54" t="n"/>
      <c r="I246" s="54" t="n"/>
      <c r="J246" s="39">
        <f>IF($A246="","",IF($E246="Informational","GREEN",IF($G246="",IF($E246="Mandatory","RED","YELLOW"),IF($N246="Exact",IF(UPPER(TRIM($G246&amp;""))=UPPER(TRIM($F246&amp;"")),"GREEN",$P246),IF(NOT(ISNUMBER($G246)),$P246,IF($N246="Min",IF($G246&gt;=$F246,"GREEN",IF($G246&gt;=$F246-$O246,"YELLOW",$P246)),IF($N246="Max",IF($G246&lt;=$F246,"GREEN",IF($G246&lt;=$F246+$O246,"YELLOW",$P246)),IF($N246="Range",IF(ABS($G246-$F246)&lt;=$O246,"GREEN",$P246),"CHECK RULE"))))))))</f>
        <v/>
      </c>
      <c r="K246" s="39">
        <f>IF($A246="","",IF($H246="Non-Compliant","RED",IF(AND(OR($H246="Alternative Offer",$H246="Partially Compliant"),$J246="GREEN"),"YELLOW",IF(AND($J246="GREEN",ISNUMBER($R246),$R246&lt;Baseline!$B$9),"YELLOW",$J246))))</f>
        <v/>
      </c>
      <c r="L246" s="39">
        <f>IF($A246="","",IF($K246="GREEN","GREEN",IF(COUNTIFS(Exceptions!$B$5:$B$104,$A246,Exceptions!$C$5:$C$104,$B246,Exceptions!$D$5:$D$104,$C246,Exceptions!$G$5:$G$104,"Accepted",Exceptions!$H$5:$H$104,"&lt;&gt;")&gt;0,"CLEARED",$K246)))</f>
        <v/>
      </c>
      <c r="M246" s="39">
        <f>IF($A246="","",IF($H246="","Declaration missing",IF($H246="Not Stated","Not stated in quotation",IF(AND(ISNUMBER($R246),$R246&lt;Baseline!$B$9),"Low AI confidence - verify",IF(AND($H246="Fully Compliant",$J246&lt;&gt;"GREEN"),"Declared Fully - evidence differs","")))))</f>
        <v/>
      </c>
      <c r="N246" s="58">
        <f>IF($A246="","",IFERROR(INDEX(Baseline!$D$20:$D$49,MATCH($C246,Baseline!$A$20:$A$49,0)),""))</f>
        <v/>
      </c>
      <c r="O246" s="58">
        <f>IF($A246="","",IFERROR(INDEX(Baseline!$F$20:$F$49,MATCH($C246,Baseline!$A$20:$A$49,0)),0))</f>
        <v/>
      </c>
      <c r="P246" s="58">
        <f>IF($A246="","",IFERROR(INDEX(Baseline!$G$20:$G$49,MATCH($C246,Baseline!$A$20:$A$49,0)),"RED"))</f>
        <v/>
      </c>
      <c r="Q246" s="58">
        <f>IF($A246="","",$A246&amp;"|"&amp;$B246&amp;"|"&amp;$C246)</f>
        <v/>
      </c>
      <c r="R246" s="59" t="n"/>
      <c r="S246" s="60" t="n"/>
    </row>
    <row r="247" ht="15" customHeight="1" s="34">
      <c r="A247" s="54" t="n"/>
      <c r="B247" s="54" t="n"/>
      <c r="C247" s="54" t="n"/>
      <c r="D247" s="55">
        <f>IF($A247="","",IFERROR(INDEX(Baseline!$B$20:$B$49,MATCH($C247,Baseline!$A$20:$A$49,0)),"Line not in baseline"))</f>
        <v/>
      </c>
      <c r="E247" s="55">
        <f>IF($A247="","",IFERROR(INDEX(Baseline!$C$20:$C$49,MATCH($C247,Baseline!$A$20:$A$49,0)),""))</f>
        <v/>
      </c>
      <c r="F247" s="56">
        <f>IF($A247="","",IFERROR(INDEX(Baseline!$E$20:$E$49,MATCH($C247,Baseline!$A$20:$A$49,0)),""))</f>
        <v/>
      </c>
      <c r="G247" s="57" t="n"/>
      <c r="H247" s="54" t="n"/>
      <c r="I247" s="54" t="n"/>
      <c r="J247" s="39">
        <f>IF($A247="","",IF($E247="Informational","GREEN",IF($G247="",IF($E247="Mandatory","RED","YELLOW"),IF($N247="Exact",IF(UPPER(TRIM($G247&amp;""))=UPPER(TRIM($F247&amp;"")),"GREEN",$P247),IF(NOT(ISNUMBER($G247)),$P247,IF($N247="Min",IF($G247&gt;=$F247,"GREEN",IF($G247&gt;=$F247-$O247,"YELLOW",$P247)),IF($N247="Max",IF($G247&lt;=$F247,"GREEN",IF($G247&lt;=$F247+$O247,"YELLOW",$P247)),IF($N247="Range",IF(ABS($G247-$F247)&lt;=$O247,"GREEN",$P247),"CHECK RULE"))))))))</f>
        <v/>
      </c>
      <c r="K247" s="39">
        <f>IF($A247="","",IF($H247="Non-Compliant","RED",IF(AND(OR($H247="Alternative Offer",$H247="Partially Compliant"),$J247="GREEN"),"YELLOW",IF(AND($J247="GREEN",ISNUMBER($R247),$R247&lt;Baseline!$B$9),"YELLOW",$J247))))</f>
        <v/>
      </c>
      <c r="L247" s="39">
        <f>IF($A247="","",IF($K247="GREEN","GREEN",IF(COUNTIFS(Exceptions!$B$5:$B$104,$A247,Exceptions!$C$5:$C$104,$B247,Exceptions!$D$5:$D$104,$C247,Exceptions!$G$5:$G$104,"Accepted",Exceptions!$H$5:$H$104,"&lt;&gt;")&gt;0,"CLEARED",$K247)))</f>
        <v/>
      </c>
      <c r="M247" s="39">
        <f>IF($A247="","",IF($H247="","Declaration missing",IF($H247="Not Stated","Not stated in quotation",IF(AND(ISNUMBER($R247),$R247&lt;Baseline!$B$9),"Low AI confidence - verify",IF(AND($H247="Fully Compliant",$J247&lt;&gt;"GREEN"),"Declared Fully - evidence differs","")))))</f>
        <v/>
      </c>
      <c r="N247" s="58">
        <f>IF($A247="","",IFERROR(INDEX(Baseline!$D$20:$D$49,MATCH($C247,Baseline!$A$20:$A$49,0)),""))</f>
        <v/>
      </c>
      <c r="O247" s="58">
        <f>IF($A247="","",IFERROR(INDEX(Baseline!$F$20:$F$49,MATCH($C247,Baseline!$A$20:$A$49,0)),0))</f>
        <v/>
      </c>
      <c r="P247" s="58">
        <f>IF($A247="","",IFERROR(INDEX(Baseline!$G$20:$G$49,MATCH($C247,Baseline!$A$20:$A$49,0)),"RED"))</f>
        <v/>
      </c>
      <c r="Q247" s="58">
        <f>IF($A247="","",$A247&amp;"|"&amp;$B247&amp;"|"&amp;$C247)</f>
        <v/>
      </c>
      <c r="R247" s="59" t="n"/>
      <c r="S247" s="60" t="n"/>
    </row>
    <row r="248" ht="15" customHeight="1" s="34">
      <c r="A248" s="54" t="n"/>
      <c r="B248" s="54" t="n"/>
      <c r="C248" s="54" t="n"/>
      <c r="D248" s="55">
        <f>IF($A248="","",IFERROR(INDEX(Baseline!$B$20:$B$49,MATCH($C248,Baseline!$A$20:$A$49,0)),"Line not in baseline"))</f>
        <v/>
      </c>
      <c r="E248" s="55">
        <f>IF($A248="","",IFERROR(INDEX(Baseline!$C$20:$C$49,MATCH($C248,Baseline!$A$20:$A$49,0)),""))</f>
        <v/>
      </c>
      <c r="F248" s="56">
        <f>IF($A248="","",IFERROR(INDEX(Baseline!$E$20:$E$49,MATCH($C248,Baseline!$A$20:$A$49,0)),""))</f>
        <v/>
      </c>
      <c r="G248" s="57" t="n"/>
      <c r="H248" s="54" t="n"/>
      <c r="I248" s="54" t="n"/>
      <c r="J248" s="39">
        <f>IF($A248="","",IF($E248="Informational","GREEN",IF($G248="",IF($E248="Mandatory","RED","YELLOW"),IF($N248="Exact",IF(UPPER(TRIM($G248&amp;""))=UPPER(TRIM($F248&amp;"")),"GREEN",$P248),IF(NOT(ISNUMBER($G248)),$P248,IF($N248="Min",IF($G248&gt;=$F248,"GREEN",IF($G248&gt;=$F248-$O248,"YELLOW",$P248)),IF($N248="Max",IF($G248&lt;=$F248,"GREEN",IF($G248&lt;=$F248+$O248,"YELLOW",$P248)),IF($N248="Range",IF(ABS($G248-$F248)&lt;=$O248,"GREEN",$P248),"CHECK RULE"))))))))</f>
        <v/>
      </c>
      <c r="K248" s="39">
        <f>IF($A248="","",IF($H248="Non-Compliant","RED",IF(AND(OR($H248="Alternative Offer",$H248="Partially Compliant"),$J248="GREEN"),"YELLOW",IF(AND($J248="GREEN",ISNUMBER($R248),$R248&lt;Baseline!$B$9),"YELLOW",$J248))))</f>
        <v/>
      </c>
      <c r="L248" s="39">
        <f>IF($A248="","",IF($K248="GREEN","GREEN",IF(COUNTIFS(Exceptions!$B$5:$B$104,$A248,Exceptions!$C$5:$C$104,$B248,Exceptions!$D$5:$D$104,$C248,Exceptions!$G$5:$G$104,"Accepted",Exceptions!$H$5:$H$104,"&lt;&gt;")&gt;0,"CLEARED",$K248)))</f>
        <v/>
      </c>
      <c r="M248" s="39">
        <f>IF($A248="","",IF($H248="","Declaration missing",IF($H248="Not Stated","Not stated in quotation",IF(AND(ISNUMBER($R248),$R248&lt;Baseline!$B$9),"Low AI confidence - verify",IF(AND($H248="Fully Compliant",$J248&lt;&gt;"GREEN"),"Declared Fully - evidence differs","")))))</f>
        <v/>
      </c>
      <c r="N248" s="58">
        <f>IF($A248="","",IFERROR(INDEX(Baseline!$D$20:$D$49,MATCH($C248,Baseline!$A$20:$A$49,0)),""))</f>
        <v/>
      </c>
      <c r="O248" s="58">
        <f>IF($A248="","",IFERROR(INDEX(Baseline!$F$20:$F$49,MATCH($C248,Baseline!$A$20:$A$49,0)),0))</f>
        <v/>
      </c>
      <c r="P248" s="58">
        <f>IF($A248="","",IFERROR(INDEX(Baseline!$G$20:$G$49,MATCH($C248,Baseline!$A$20:$A$49,0)),"RED"))</f>
        <v/>
      </c>
      <c r="Q248" s="58">
        <f>IF($A248="","",$A248&amp;"|"&amp;$B248&amp;"|"&amp;$C248)</f>
        <v/>
      </c>
      <c r="R248" s="59" t="n"/>
      <c r="S248" s="60" t="n"/>
    </row>
    <row r="249" ht="15" customHeight="1" s="34">
      <c r="A249" s="54" t="n"/>
      <c r="B249" s="54" t="n"/>
      <c r="C249" s="54" t="n"/>
      <c r="D249" s="55">
        <f>IF($A249="","",IFERROR(INDEX(Baseline!$B$20:$B$49,MATCH($C249,Baseline!$A$20:$A$49,0)),"Line not in baseline"))</f>
        <v/>
      </c>
      <c r="E249" s="55">
        <f>IF($A249="","",IFERROR(INDEX(Baseline!$C$20:$C$49,MATCH($C249,Baseline!$A$20:$A$49,0)),""))</f>
        <v/>
      </c>
      <c r="F249" s="56">
        <f>IF($A249="","",IFERROR(INDEX(Baseline!$E$20:$E$49,MATCH($C249,Baseline!$A$20:$A$49,0)),""))</f>
        <v/>
      </c>
      <c r="G249" s="57" t="n"/>
      <c r="H249" s="54" t="n"/>
      <c r="I249" s="54" t="n"/>
      <c r="J249" s="39">
        <f>IF($A249="","",IF($E249="Informational","GREEN",IF($G249="",IF($E249="Mandatory","RED","YELLOW"),IF($N249="Exact",IF(UPPER(TRIM($G249&amp;""))=UPPER(TRIM($F249&amp;"")),"GREEN",$P249),IF(NOT(ISNUMBER($G249)),$P249,IF($N249="Min",IF($G249&gt;=$F249,"GREEN",IF($G249&gt;=$F249-$O249,"YELLOW",$P249)),IF($N249="Max",IF($G249&lt;=$F249,"GREEN",IF($G249&lt;=$F249+$O249,"YELLOW",$P249)),IF($N249="Range",IF(ABS($G249-$F249)&lt;=$O249,"GREEN",$P249),"CHECK RULE"))))))))</f>
        <v/>
      </c>
      <c r="K249" s="39">
        <f>IF($A249="","",IF($H249="Non-Compliant","RED",IF(AND(OR($H249="Alternative Offer",$H249="Partially Compliant"),$J249="GREEN"),"YELLOW",IF(AND($J249="GREEN",ISNUMBER($R249),$R249&lt;Baseline!$B$9),"YELLOW",$J249))))</f>
        <v/>
      </c>
      <c r="L249" s="39">
        <f>IF($A249="","",IF($K249="GREEN","GREEN",IF(COUNTIFS(Exceptions!$B$5:$B$104,$A249,Exceptions!$C$5:$C$104,$B249,Exceptions!$D$5:$D$104,$C249,Exceptions!$G$5:$G$104,"Accepted",Exceptions!$H$5:$H$104,"&lt;&gt;")&gt;0,"CLEARED",$K249)))</f>
        <v/>
      </c>
      <c r="M249" s="39">
        <f>IF($A249="","",IF($H249="","Declaration missing",IF($H249="Not Stated","Not stated in quotation",IF(AND(ISNUMBER($R249),$R249&lt;Baseline!$B$9),"Low AI confidence - verify",IF(AND($H249="Fully Compliant",$J249&lt;&gt;"GREEN"),"Declared Fully - evidence differs","")))))</f>
        <v/>
      </c>
      <c r="N249" s="58">
        <f>IF($A249="","",IFERROR(INDEX(Baseline!$D$20:$D$49,MATCH($C249,Baseline!$A$20:$A$49,0)),""))</f>
        <v/>
      </c>
      <c r="O249" s="58">
        <f>IF($A249="","",IFERROR(INDEX(Baseline!$F$20:$F$49,MATCH($C249,Baseline!$A$20:$A$49,0)),0))</f>
        <v/>
      </c>
      <c r="P249" s="58">
        <f>IF($A249="","",IFERROR(INDEX(Baseline!$G$20:$G$49,MATCH($C249,Baseline!$A$20:$A$49,0)),"RED"))</f>
        <v/>
      </c>
      <c r="Q249" s="58">
        <f>IF($A249="","",$A249&amp;"|"&amp;$B249&amp;"|"&amp;$C249)</f>
        <v/>
      </c>
      <c r="R249" s="59" t="n"/>
      <c r="S249" s="60" t="n"/>
    </row>
    <row r="250" ht="15" customHeight="1" s="34">
      <c r="A250" s="54" t="n"/>
      <c r="B250" s="54" t="n"/>
      <c r="C250" s="54" t="n"/>
      <c r="D250" s="55">
        <f>IF($A250="","",IFERROR(INDEX(Baseline!$B$20:$B$49,MATCH($C250,Baseline!$A$20:$A$49,0)),"Line not in baseline"))</f>
        <v/>
      </c>
      <c r="E250" s="55">
        <f>IF($A250="","",IFERROR(INDEX(Baseline!$C$20:$C$49,MATCH($C250,Baseline!$A$20:$A$49,0)),""))</f>
        <v/>
      </c>
      <c r="F250" s="56">
        <f>IF($A250="","",IFERROR(INDEX(Baseline!$E$20:$E$49,MATCH($C250,Baseline!$A$20:$A$49,0)),""))</f>
        <v/>
      </c>
      <c r="G250" s="57" t="n"/>
      <c r="H250" s="54" t="n"/>
      <c r="I250" s="54" t="n"/>
      <c r="J250" s="39">
        <f>IF($A250="","",IF($E250="Informational","GREEN",IF($G250="",IF($E250="Mandatory","RED","YELLOW"),IF($N250="Exact",IF(UPPER(TRIM($G250&amp;""))=UPPER(TRIM($F250&amp;"")),"GREEN",$P250),IF(NOT(ISNUMBER($G250)),$P250,IF($N250="Min",IF($G250&gt;=$F250,"GREEN",IF($G250&gt;=$F250-$O250,"YELLOW",$P250)),IF($N250="Max",IF($G250&lt;=$F250,"GREEN",IF($G250&lt;=$F250+$O250,"YELLOW",$P250)),IF($N250="Range",IF(ABS($G250-$F250)&lt;=$O250,"GREEN",$P250),"CHECK RULE"))))))))</f>
        <v/>
      </c>
      <c r="K250" s="39">
        <f>IF($A250="","",IF($H250="Non-Compliant","RED",IF(AND(OR($H250="Alternative Offer",$H250="Partially Compliant"),$J250="GREEN"),"YELLOW",IF(AND($J250="GREEN",ISNUMBER($R250),$R250&lt;Baseline!$B$9),"YELLOW",$J250))))</f>
        <v/>
      </c>
      <c r="L250" s="39">
        <f>IF($A250="","",IF($K250="GREEN","GREEN",IF(COUNTIFS(Exceptions!$B$5:$B$104,$A250,Exceptions!$C$5:$C$104,$B250,Exceptions!$D$5:$D$104,$C250,Exceptions!$G$5:$G$104,"Accepted",Exceptions!$H$5:$H$104,"&lt;&gt;")&gt;0,"CLEARED",$K250)))</f>
        <v/>
      </c>
      <c r="M250" s="39">
        <f>IF($A250="","",IF($H250="","Declaration missing",IF($H250="Not Stated","Not stated in quotation",IF(AND(ISNUMBER($R250),$R250&lt;Baseline!$B$9),"Low AI confidence - verify",IF(AND($H250="Fully Compliant",$J250&lt;&gt;"GREEN"),"Declared Fully - evidence differs","")))))</f>
        <v/>
      </c>
      <c r="N250" s="58">
        <f>IF($A250="","",IFERROR(INDEX(Baseline!$D$20:$D$49,MATCH($C250,Baseline!$A$20:$A$49,0)),""))</f>
        <v/>
      </c>
      <c r="O250" s="58">
        <f>IF($A250="","",IFERROR(INDEX(Baseline!$F$20:$F$49,MATCH($C250,Baseline!$A$20:$A$49,0)),0))</f>
        <v/>
      </c>
      <c r="P250" s="58">
        <f>IF($A250="","",IFERROR(INDEX(Baseline!$G$20:$G$49,MATCH($C250,Baseline!$A$20:$A$49,0)),"RED"))</f>
        <v/>
      </c>
      <c r="Q250" s="58">
        <f>IF($A250="","",$A250&amp;"|"&amp;$B250&amp;"|"&amp;$C250)</f>
        <v/>
      </c>
      <c r="R250" s="59" t="n"/>
      <c r="S250" s="60" t="n"/>
    </row>
    <row r="251" ht="15" customHeight="1" s="34">
      <c r="A251" s="54" t="n"/>
      <c r="B251" s="54" t="n"/>
      <c r="C251" s="54" t="n"/>
      <c r="D251" s="55">
        <f>IF($A251="","",IFERROR(INDEX(Baseline!$B$20:$B$49,MATCH($C251,Baseline!$A$20:$A$49,0)),"Line not in baseline"))</f>
        <v/>
      </c>
      <c r="E251" s="55">
        <f>IF($A251="","",IFERROR(INDEX(Baseline!$C$20:$C$49,MATCH($C251,Baseline!$A$20:$A$49,0)),""))</f>
        <v/>
      </c>
      <c r="F251" s="56">
        <f>IF($A251="","",IFERROR(INDEX(Baseline!$E$20:$E$49,MATCH($C251,Baseline!$A$20:$A$49,0)),""))</f>
        <v/>
      </c>
      <c r="G251" s="57" t="n"/>
      <c r="H251" s="54" t="n"/>
      <c r="I251" s="54" t="n"/>
      <c r="J251" s="39">
        <f>IF($A251="","",IF($E251="Informational","GREEN",IF($G251="",IF($E251="Mandatory","RED","YELLOW"),IF($N251="Exact",IF(UPPER(TRIM($G251&amp;""))=UPPER(TRIM($F251&amp;"")),"GREEN",$P251),IF(NOT(ISNUMBER($G251)),$P251,IF($N251="Min",IF($G251&gt;=$F251,"GREEN",IF($G251&gt;=$F251-$O251,"YELLOW",$P251)),IF($N251="Max",IF($G251&lt;=$F251,"GREEN",IF($G251&lt;=$F251+$O251,"YELLOW",$P251)),IF($N251="Range",IF(ABS($G251-$F251)&lt;=$O251,"GREEN",$P251),"CHECK RULE"))))))))</f>
        <v/>
      </c>
      <c r="K251" s="39">
        <f>IF($A251="","",IF($H251="Non-Compliant","RED",IF(AND(OR($H251="Alternative Offer",$H251="Partially Compliant"),$J251="GREEN"),"YELLOW",IF(AND($J251="GREEN",ISNUMBER($R251),$R251&lt;Baseline!$B$9),"YELLOW",$J251))))</f>
        <v/>
      </c>
      <c r="L251" s="39">
        <f>IF($A251="","",IF($K251="GREEN","GREEN",IF(COUNTIFS(Exceptions!$B$5:$B$104,$A251,Exceptions!$C$5:$C$104,$B251,Exceptions!$D$5:$D$104,$C251,Exceptions!$G$5:$G$104,"Accepted",Exceptions!$H$5:$H$104,"&lt;&gt;")&gt;0,"CLEARED",$K251)))</f>
        <v/>
      </c>
      <c r="M251" s="39">
        <f>IF($A251="","",IF($H251="","Declaration missing",IF($H251="Not Stated","Not stated in quotation",IF(AND(ISNUMBER($R251),$R251&lt;Baseline!$B$9),"Low AI confidence - verify",IF(AND($H251="Fully Compliant",$J251&lt;&gt;"GREEN"),"Declared Fully - evidence differs","")))))</f>
        <v/>
      </c>
      <c r="N251" s="58">
        <f>IF($A251="","",IFERROR(INDEX(Baseline!$D$20:$D$49,MATCH($C251,Baseline!$A$20:$A$49,0)),""))</f>
        <v/>
      </c>
      <c r="O251" s="58">
        <f>IF($A251="","",IFERROR(INDEX(Baseline!$F$20:$F$49,MATCH($C251,Baseline!$A$20:$A$49,0)),0))</f>
        <v/>
      </c>
      <c r="P251" s="58">
        <f>IF($A251="","",IFERROR(INDEX(Baseline!$G$20:$G$49,MATCH($C251,Baseline!$A$20:$A$49,0)),"RED"))</f>
        <v/>
      </c>
      <c r="Q251" s="58">
        <f>IF($A251="","",$A251&amp;"|"&amp;$B251&amp;"|"&amp;$C251)</f>
        <v/>
      </c>
      <c r="R251" s="59" t="n"/>
      <c r="S251" s="60" t="n"/>
    </row>
    <row r="252" ht="15" customHeight="1" s="34">
      <c r="A252" s="54" t="n"/>
      <c r="B252" s="54" t="n"/>
      <c r="C252" s="54" t="n"/>
      <c r="D252" s="55">
        <f>IF($A252="","",IFERROR(INDEX(Baseline!$B$20:$B$49,MATCH($C252,Baseline!$A$20:$A$49,0)),"Line not in baseline"))</f>
        <v/>
      </c>
      <c r="E252" s="55">
        <f>IF($A252="","",IFERROR(INDEX(Baseline!$C$20:$C$49,MATCH($C252,Baseline!$A$20:$A$49,0)),""))</f>
        <v/>
      </c>
      <c r="F252" s="56">
        <f>IF($A252="","",IFERROR(INDEX(Baseline!$E$20:$E$49,MATCH($C252,Baseline!$A$20:$A$49,0)),""))</f>
        <v/>
      </c>
      <c r="G252" s="57" t="n"/>
      <c r="H252" s="54" t="n"/>
      <c r="I252" s="54" t="n"/>
      <c r="J252" s="39">
        <f>IF($A252="","",IF($E252="Informational","GREEN",IF($G252="",IF($E252="Mandatory","RED","YELLOW"),IF($N252="Exact",IF(UPPER(TRIM($G252&amp;""))=UPPER(TRIM($F252&amp;"")),"GREEN",$P252),IF(NOT(ISNUMBER($G252)),$P252,IF($N252="Min",IF($G252&gt;=$F252,"GREEN",IF($G252&gt;=$F252-$O252,"YELLOW",$P252)),IF($N252="Max",IF($G252&lt;=$F252,"GREEN",IF($G252&lt;=$F252+$O252,"YELLOW",$P252)),IF($N252="Range",IF(ABS($G252-$F252)&lt;=$O252,"GREEN",$P252),"CHECK RULE"))))))))</f>
        <v/>
      </c>
      <c r="K252" s="39">
        <f>IF($A252="","",IF($H252="Non-Compliant","RED",IF(AND(OR($H252="Alternative Offer",$H252="Partially Compliant"),$J252="GREEN"),"YELLOW",IF(AND($J252="GREEN",ISNUMBER($R252),$R252&lt;Baseline!$B$9),"YELLOW",$J252))))</f>
        <v/>
      </c>
      <c r="L252" s="39">
        <f>IF($A252="","",IF($K252="GREEN","GREEN",IF(COUNTIFS(Exceptions!$B$5:$B$104,$A252,Exceptions!$C$5:$C$104,$B252,Exceptions!$D$5:$D$104,$C252,Exceptions!$G$5:$G$104,"Accepted",Exceptions!$H$5:$H$104,"&lt;&gt;")&gt;0,"CLEARED",$K252)))</f>
        <v/>
      </c>
      <c r="M252" s="39">
        <f>IF($A252="","",IF($H252="","Declaration missing",IF($H252="Not Stated","Not stated in quotation",IF(AND(ISNUMBER($R252),$R252&lt;Baseline!$B$9),"Low AI confidence - verify",IF(AND($H252="Fully Compliant",$J252&lt;&gt;"GREEN"),"Declared Fully - evidence differs","")))))</f>
        <v/>
      </c>
      <c r="N252" s="58">
        <f>IF($A252="","",IFERROR(INDEX(Baseline!$D$20:$D$49,MATCH($C252,Baseline!$A$20:$A$49,0)),""))</f>
        <v/>
      </c>
      <c r="O252" s="58">
        <f>IF($A252="","",IFERROR(INDEX(Baseline!$F$20:$F$49,MATCH($C252,Baseline!$A$20:$A$49,0)),0))</f>
        <v/>
      </c>
      <c r="P252" s="58">
        <f>IF($A252="","",IFERROR(INDEX(Baseline!$G$20:$G$49,MATCH($C252,Baseline!$A$20:$A$49,0)),"RED"))</f>
        <v/>
      </c>
      <c r="Q252" s="58">
        <f>IF($A252="","",$A252&amp;"|"&amp;$B252&amp;"|"&amp;$C252)</f>
        <v/>
      </c>
      <c r="R252" s="59" t="n"/>
      <c r="S252" s="60" t="n"/>
    </row>
    <row r="253" ht="15" customHeight="1" s="34">
      <c r="A253" s="54" t="n"/>
      <c r="B253" s="54" t="n"/>
      <c r="C253" s="54" t="n"/>
      <c r="D253" s="55">
        <f>IF($A253="","",IFERROR(INDEX(Baseline!$B$20:$B$49,MATCH($C253,Baseline!$A$20:$A$49,0)),"Line not in baseline"))</f>
        <v/>
      </c>
      <c r="E253" s="55">
        <f>IF($A253="","",IFERROR(INDEX(Baseline!$C$20:$C$49,MATCH($C253,Baseline!$A$20:$A$49,0)),""))</f>
        <v/>
      </c>
      <c r="F253" s="56">
        <f>IF($A253="","",IFERROR(INDEX(Baseline!$E$20:$E$49,MATCH($C253,Baseline!$A$20:$A$49,0)),""))</f>
        <v/>
      </c>
      <c r="G253" s="57" t="n"/>
      <c r="H253" s="54" t="n"/>
      <c r="I253" s="54" t="n"/>
      <c r="J253" s="39">
        <f>IF($A253="","",IF($E253="Informational","GREEN",IF($G253="",IF($E253="Mandatory","RED","YELLOW"),IF($N253="Exact",IF(UPPER(TRIM($G253&amp;""))=UPPER(TRIM($F253&amp;"")),"GREEN",$P253),IF(NOT(ISNUMBER($G253)),$P253,IF($N253="Min",IF($G253&gt;=$F253,"GREEN",IF($G253&gt;=$F253-$O253,"YELLOW",$P253)),IF($N253="Max",IF($G253&lt;=$F253,"GREEN",IF($G253&lt;=$F253+$O253,"YELLOW",$P253)),IF($N253="Range",IF(ABS($G253-$F253)&lt;=$O253,"GREEN",$P253),"CHECK RULE"))))))))</f>
        <v/>
      </c>
      <c r="K253" s="39">
        <f>IF($A253="","",IF($H253="Non-Compliant","RED",IF(AND(OR($H253="Alternative Offer",$H253="Partially Compliant"),$J253="GREEN"),"YELLOW",IF(AND($J253="GREEN",ISNUMBER($R253),$R253&lt;Baseline!$B$9),"YELLOW",$J253))))</f>
        <v/>
      </c>
      <c r="L253" s="39">
        <f>IF($A253="","",IF($K253="GREEN","GREEN",IF(COUNTIFS(Exceptions!$B$5:$B$104,$A253,Exceptions!$C$5:$C$104,$B253,Exceptions!$D$5:$D$104,$C253,Exceptions!$G$5:$G$104,"Accepted",Exceptions!$H$5:$H$104,"&lt;&gt;")&gt;0,"CLEARED",$K253)))</f>
        <v/>
      </c>
      <c r="M253" s="39">
        <f>IF($A253="","",IF($H253="","Declaration missing",IF($H253="Not Stated","Not stated in quotation",IF(AND(ISNUMBER($R253),$R253&lt;Baseline!$B$9),"Low AI confidence - verify",IF(AND($H253="Fully Compliant",$J253&lt;&gt;"GREEN"),"Declared Fully - evidence differs","")))))</f>
        <v/>
      </c>
      <c r="N253" s="58">
        <f>IF($A253="","",IFERROR(INDEX(Baseline!$D$20:$D$49,MATCH($C253,Baseline!$A$20:$A$49,0)),""))</f>
        <v/>
      </c>
      <c r="O253" s="58">
        <f>IF($A253="","",IFERROR(INDEX(Baseline!$F$20:$F$49,MATCH($C253,Baseline!$A$20:$A$49,0)),0))</f>
        <v/>
      </c>
      <c r="P253" s="58">
        <f>IF($A253="","",IFERROR(INDEX(Baseline!$G$20:$G$49,MATCH($C253,Baseline!$A$20:$A$49,0)),"RED"))</f>
        <v/>
      </c>
      <c r="Q253" s="58">
        <f>IF($A253="","",$A253&amp;"|"&amp;$B253&amp;"|"&amp;$C253)</f>
        <v/>
      </c>
      <c r="R253" s="59" t="n"/>
      <c r="S253" s="60" t="n"/>
    </row>
    <row r="254" ht="15" customHeight="1" s="34">
      <c r="A254" s="54" t="n"/>
      <c r="B254" s="54" t="n"/>
      <c r="C254" s="54" t="n"/>
      <c r="D254" s="55">
        <f>IF($A254="","",IFERROR(INDEX(Baseline!$B$20:$B$49,MATCH($C254,Baseline!$A$20:$A$49,0)),"Line not in baseline"))</f>
        <v/>
      </c>
      <c r="E254" s="55">
        <f>IF($A254="","",IFERROR(INDEX(Baseline!$C$20:$C$49,MATCH($C254,Baseline!$A$20:$A$49,0)),""))</f>
        <v/>
      </c>
      <c r="F254" s="56">
        <f>IF($A254="","",IFERROR(INDEX(Baseline!$E$20:$E$49,MATCH($C254,Baseline!$A$20:$A$49,0)),""))</f>
        <v/>
      </c>
      <c r="G254" s="57" t="n"/>
      <c r="H254" s="54" t="n"/>
      <c r="I254" s="54" t="n"/>
      <c r="J254" s="39">
        <f>IF($A254="","",IF($E254="Informational","GREEN",IF($G254="",IF($E254="Mandatory","RED","YELLOW"),IF($N254="Exact",IF(UPPER(TRIM($G254&amp;""))=UPPER(TRIM($F254&amp;"")),"GREEN",$P254),IF(NOT(ISNUMBER($G254)),$P254,IF($N254="Min",IF($G254&gt;=$F254,"GREEN",IF($G254&gt;=$F254-$O254,"YELLOW",$P254)),IF($N254="Max",IF($G254&lt;=$F254,"GREEN",IF($G254&lt;=$F254+$O254,"YELLOW",$P254)),IF($N254="Range",IF(ABS($G254-$F254)&lt;=$O254,"GREEN",$P254),"CHECK RULE"))))))))</f>
        <v/>
      </c>
      <c r="K254" s="39">
        <f>IF($A254="","",IF($H254="Non-Compliant","RED",IF(AND(OR($H254="Alternative Offer",$H254="Partially Compliant"),$J254="GREEN"),"YELLOW",IF(AND($J254="GREEN",ISNUMBER($R254),$R254&lt;Baseline!$B$9),"YELLOW",$J254))))</f>
        <v/>
      </c>
      <c r="L254" s="39">
        <f>IF($A254="","",IF($K254="GREEN","GREEN",IF(COUNTIFS(Exceptions!$B$5:$B$104,$A254,Exceptions!$C$5:$C$104,$B254,Exceptions!$D$5:$D$104,$C254,Exceptions!$G$5:$G$104,"Accepted",Exceptions!$H$5:$H$104,"&lt;&gt;")&gt;0,"CLEARED",$K254)))</f>
        <v/>
      </c>
      <c r="M254" s="39">
        <f>IF($A254="","",IF($H254="","Declaration missing",IF($H254="Not Stated","Not stated in quotation",IF(AND(ISNUMBER($R254),$R254&lt;Baseline!$B$9),"Low AI confidence - verify",IF(AND($H254="Fully Compliant",$J254&lt;&gt;"GREEN"),"Declared Fully - evidence differs","")))))</f>
        <v/>
      </c>
      <c r="N254" s="58">
        <f>IF($A254="","",IFERROR(INDEX(Baseline!$D$20:$D$49,MATCH($C254,Baseline!$A$20:$A$49,0)),""))</f>
        <v/>
      </c>
      <c r="O254" s="58">
        <f>IF($A254="","",IFERROR(INDEX(Baseline!$F$20:$F$49,MATCH($C254,Baseline!$A$20:$A$49,0)),0))</f>
        <v/>
      </c>
      <c r="P254" s="58">
        <f>IF($A254="","",IFERROR(INDEX(Baseline!$G$20:$G$49,MATCH($C254,Baseline!$A$20:$A$49,0)),"RED"))</f>
        <v/>
      </c>
      <c r="Q254" s="58">
        <f>IF($A254="","",$A254&amp;"|"&amp;$B254&amp;"|"&amp;$C254)</f>
        <v/>
      </c>
      <c r="R254" s="59" t="n"/>
      <c r="S254" s="60" t="n"/>
    </row>
    <row r="255" ht="15" customHeight="1" s="34">
      <c r="A255" s="54" t="n"/>
      <c r="B255" s="54" t="n"/>
      <c r="C255" s="54" t="n"/>
      <c r="D255" s="55">
        <f>IF($A255="","",IFERROR(INDEX(Baseline!$B$20:$B$49,MATCH($C255,Baseline!$A$20:$A$49,0)),"Line not in baseline"))</f>
        <v/>
      </c>
      <c r="E255" s="55">
        <f>IF($A255="","",IFERROR(INDEX(Baseline!$C$20:$C$49,MATCH($C255,Baseline!$A$20:$A$49,0)),""))</f>
        <v/>
      </c>
      <c r="F255" s="56">
        <f>IF($A255="","",IFERROR(INDEX(Baseline!$E$20:$E$49,MATCH($C255,Baseline!$A$20:$A$49,0)),""))</f>
        <v/>
      </c>
      <c r="G255" s="57" t="n"/>
      <c r="H255" s="54" t="n"/>
      <c r="I255" s="54" t="n"/>
      <c r="J255" s="39">
        <f>IF($A255="","",IF($E255="Informational","GREEN",IF($G255="",IF($E255="Mandatory","RED","YELLOW"),IF($N255="Exact",IF(UPPER(TRIM($G255&amp;""))=UPPER(TRIM($F255&amp;"")),"GREEN",$P255),IF(NOT(ISNUMBER($G255)),$P255,IF($N255="Min",IF($G255&gt;=$F255,"GREEN",IF($G255&gt;=$F255-$O255,"YELLOW",$P255)),IF($N255="Max",IF($G255&lt;=$F255,"GREEN",IF($G255&lt;=$F255+$O255,"YELLOW",$P255)),IF($N255="Range",IF(ABS($G255-$F255)&lt;=$O255,"GREEN",$P255),"CHECK RULE"))))))))</f>
        <v/>
      </c>
      <c r="K255" s="39">
        <f>IF($A255="","",IF($H255="Non-Compliant","RED",IF(AND(OR($H255="Alternative Offer",$H255="Partially Compliant"),$J255="GREEN"),"YELLOW",IF(AND($J255="GREEN",ISNUMBER($R255),$R255&lt;Baseline!$B$9),"YELLOW",$J255))))</f>
        <v/>
      </c>
      <c r="L255" s="39">
        <f>IF($A255="","",IF($K255="GREEN","GREEN",IF(COUNTIFS(Exceptions!$B$5:$B$104,$A255,Exceptions!$C$5:$C$104,$B255,Exceptions!$D$5:$D$104,$C255,Exceptions!$G$5:$G$104,"Accepted",Exceptions!$H$5:$H$104,"&lt;&gt;")&gt;0,"CLEARED",$K255)))</f>
        <v/>
      </c>
      <c r="M255" s="39">
        <f>IF($A255="","",IF($H255="","Declaration missing",IF($H255="Not Stated","Not stated in quotation",IF(AND(ISNUMBER($R255),$R255&lt;Baseline!$B$9),"Low AI confidence - verify",IF(AND($H255="Fully Compliant",$J255&lt;&gt;"GREEN"),"Declared Fully - evidence differs","")))))</f>
        <v/>
      </c>
      <c r="N255" s="58">
        <f>IF($A255="","",IFERROR(INDEX(Baseline!$D$20:$D$49,MATCH($C255,Baseline!$A$20:$A$49,0)),""))</f>
        <v/>
      </c>
      <c r="O255" s="58">
        <f>IF($A255="","",IFERROR(INDEX(Baseline!$F$20:$F$49,MATCH($C255,Baseline!$A$20:$A$49,0)),0))</f>
        <v/>
      </c>
      <c r="P255" s="58">
        <f>IF($A255="","",IFERROR(INDEX(Baseline!$G$20:$G$49,MATCH($C255,Baseline!$A$20:$A$49,0)),"RED"))</f>
        <v/>
      </c>
      <c r="Q255" s="58">
        <f>IF($A255="","",$A255&amp;"|"&amp;$B255&amp;"|"&amp;$C255)</f>
        <v/>
      </c>
      <c r="R255" s="59" t="n"/>
      <c r="S255" s="60" t="n"/>
    </row>
    <row r="256" ht="15" customHeight="1" s="34">
      <c r="A256" s="54" t="n"/>
      <c r="B256" s="54" t="n"/>
      <c r="C256" s="54" t="n"/>
      <c r="D256" s="55">
        <f>IF($A256="","",IFERROR(INDEX(Baseline!$B$20:$B$49,MATCH($C256,Baseline!$A$20:$A$49,0)),"Line not in baseline"))</f>
        <v/>
      </c>
      <c r="E256" s="55">
        <f>IF($A256="","",IFERROR(INDEX(Baseline!$C$20:$C$49,MATCH($C256,Baseline!$A$20:$A$49,0)),""))</f>
        <v/>
      </c>
      <c r="F256" s="56">
        <f>IF($A256="","",IFERROR(INDEX(Baseline!$E$20:$E$49,MATCH($C256,Baseline!$A$20:$A$49,0)),""))</f>
        <v/>
      </c>
      <c r="G256" s="57" t="n"/>
      <c r="H256" s="54" t="n"/>
      <c r="I256" s="54" t="n"/>
      <c r="J256" s="39">
        <f>IF($A256="","",IF($E256="Informational","GREEN",IF($G256="",IF($E256="Mandatory","RED","YELLOW"),IF($N256="Exact",IF(UPPER(TRIM($G256&amp;""))=UPPER(TRIM($F256&amp;"")),"GREEN",$P256),IF(NOT(ISNUMBER($G256)),$P256,IF($N256="Min",IF($G256&gt;=$F256,"GREEN",IF($G256&gt;=$F256-$O256,"YELLOW",$P256)),IF($N256="Max",IF($G256&lt;=$F256,"GREEN",IF($G256&lt;=$F256+$O256,"YELLOW",$P256)),IF($N256="Range",IF(ABS($G256-$F256)&lt;=$O256,"GREEN",$P256),"CHECK RULE"))))))))</f>
        <v/>
      </c>
      <c r="K256" s="39">
        <f>IF($A256="","",IF($H256="Non-Compliant","RED",IF(AND(OR($H256="Alternative Offer",$H256="Partially Compliant"),$J256="GREEN"),"YELLOW",IF(AND($J256="GREEN",ISNUMBER($R256),$R256&lt;Baseline!$B$9),"YELLOW",$J256))))</f>
        <v/>
      </c>
      <c r="L256" s="39">
        <f>IF($A256="","",IF($K256="GREEN","GREEN",IF(COUNTIFS(Exceptions!$B$5:$B$104,$A256,Exceptions!$C$5:$C$104,$B256,Exceptions!$D$5:$D$104,$C256,Exceptions!$G$5:$G$104,"Accepted",Exceptions!$H$5:$H$104,"&lt;&gt;")&gt;0,"CLEARED",$K256)))</f>
        <v/>
      </c>
      <c r="M256" s="39">
        <f>IF($A256="","",IF($H256="","Declaration missing",IF($H256="Not Stated","Not stated in quotation",IF(AND(ISNUMBER($R256),$R256&lt;Baseline!$B$9),"Low AI confidence - verify",IF(AND($H256="Fully Compliant",$J256&lt;&gt;"GREEN"),"Declared Fully - evidence differs","")))))</f>
        <v/>
      </c>
      <c r="N256" s="58">
        <f>IF($A256="","",IFERROR(INDEX(Baseline!$D$20:$D$49,MATCH($C256,Baseline!$A$20:$A$49,0)),""))</f>
        <v/>
      </c>
      <c r="O256" s="58">
        <f>IF($A256="","",IFERROR(INDEX(Baseline!$F$20:$F$49,MATCH($C256,Baseline!$A$20:$A$49,0)),0))</f>
        <v/>
      </c>
      <c r="P256" s="58">
        <f>IF($A256="","",IFERROR(INDEX(Baseline!$G$20:$G$49,MATCH($C256,Baseline!$A$20:$A$49,0)),"RED"))</f>
        <v/>
      </c>
      <c r="Q256" s="58">
        <f>IF($A256="","",$A256&amp;"|"&amp;$B256&amp;"|"&amp;$C256)</f>
        <v/>
      </c>
      <c r="R256" s="59" t="n"/>
      <c r="S256" s="60" t="n"/>
    </row>
    <row r="257" ht="15" customHeight="1" s="34">
      <c r="A257" s="54" t="n"/>
      <c r="B257" s="54" t="n"/>
      <c r="C257" s="54" t="n"/>
      <c r="D257" s="55">
        <f>IF($A257="","",IFERROR(INDEX(Baseline!$B$20:$B$49,MATCH($C257,Baseline!$A$20:$A$49,0)),"Line not in baseline"))</f>
        <v/>
      </c>
      <c r="E257" s="55">
        <f>IF($A257="","",IFERROR(INDEX(Baseline!$C$20:$C$49,MATCH($C257,Baseline!$A$20:$A$49,0)),""))</f>
        <v/>
      </c>
      <c r="F257" s="56">
        <f>IF($A257="","",IFERROR(INDEX(Baseline!$E$20:$E$49,MATCH($C257,Baseline!$A$20:$A$49,0)),""))</f>
        <v/>
      </c>
      <c r="G257" s="57" t="n"/>
      <c r="H257" s="54" t="n"/>
      <c r="I257" s="54" t="n"/>
      <c r="J257" s="39">
        <f>IF($A257="","",IF($E257="Informational","GREEN",IF($G257="",IF($E257="Mandatory","RED","YELLOW"),IF($N257="Exact",IF(UPPER(TRIM($G257&amp;""))=UPPER(TRIM($F257&amp;"")),"GREEN",$P257),IF(NOT(ISNUMBER($G257)),$P257,IF($N257="Min",IF($G257&gt;=$F257,"GREEN",IF($G257&gt;=$F257-$O257,"YELLOW",$P257)),IF($N257="Max",IF($G257&lt;=$F257,"GREEN",IF($G257&lt;=$F257+$O257,"YELLOW",$P257)),IF($N257="Range",IF(ABS($G257-$F257)&lt;=$O257,"GREEN",$P257),"CHECK RULE"))))))))</f>
        <v/>
      </c>
      <c r="K257" s="39">
        <f>IF($A257="","",IF($H257="Non-Compliant","RED",IF(AND(OR($H257="Alternative Offer",$H257="Partially Compliant"),$J257="GREEN"),"YELLOW",IF(AND($J257="GREEN",ISNUMBER($R257),$R257&lt;Baseline!$B$9),"YELLOW",$J257))))</f>
        <v/>
      </c>
      <c r="L257" s="39">
        <f>IF($A257="","",IF($K257="GREEN","GREEN",IF(COUNTIFS(Exceptions!$B$5:$B$104,$A257,Exceptions!$C$5:$C$104,$B257,Exceptions!$D$5:$D$104,$C257,Exceptions!$G$5:$G$104,"Accepted",Exceptions!$H$5:$H$104,"&lt;&gt;")&gt;0,"CLEARED",$K257)))</f>
        <v/>
      </c>
      <c r="M257" s="39">
        <f>IF($A257="","",IF($H257="","Declaration missing",IF($H257="Not Stated","Not stated in quotation",IF(AND(ISNUMBER($R257),$R257&lt;Baseline!$B$9),"Low AI confidence - verify",IF(AND($H257="Fully Compliant",$J257&lt;&gt;"GREEN"),"Declared Fully - evidence differs","")))))</f>
        <v/>
      </c>
      <c r="N257" s="58">
        <f>IF($A257="","",IFERROR(INDEX(Baseline!$D$20:$D$49,MATCH($C257,Baseline!$A$20:$A$49,0)),""))</f>
        <v/>
      </c>
      <c r="O257" s="58">
        <f>IF($A257="","",IFERROR(INDEX(Baseline!$F$20:$F$49,MATCH($C257,Baseline!$A$20:$A$49,0)),0))</f>
        <v/>
      </c>
      <c r="P257" s="58">
        <f>IF($A257="","",IFERROR(INDEX(Baseline!$G$20:$G$49,MATCH($C257,Baseline!$A$20:$A$49,0)),"RED"))</f>
        <v/>
      </c>
      <c r="Q257" s="58">
        <f>IF($A257="","",$A257&amp;"|"&amp;$B257&amp;"|"&amp;$C257)</f>
        <v/>
      </c>
      <c r="R257" s="59" t="n"/>
      <c r="S257" s="60" t="n"/>
    </row>
    <row r="258" ht="15" customHeight="1" s="34">
      <c r="A258" s="54" t="n"/>
      <c r="B258" s="54" t="n"/>
      <c r="C258" s="54" t="n"/>
      <c r="D258" s="55">
        <f>IF($A258="","",IFERROR(INDEX(Baseline!$B$20:$B$49,MATCH($C258,Baseline!$A$20:$A$49,0)),"Line not in baseline"))</f>
        <v/>
      </c>
      <c r="E258" s="55">
        <f>IF($A258="","",IFERROR(INDEX(Baseline!$C$20:$C$49,MATCH($C258,Baseline!$A$20:$A$49,0)),""))</f>
        <v/>
      </c>
      <c r="F258" s="56">
        <f>IF($A258="","",IFERROR(INDEX(Baseline!$E$20:$E$49,MATCH($C258,Baseline!$A$20:$A$49,0)),""))</f>
        <v/>
      </c>
      <c r="G258" s="57" t="n"/>
      <c r="H258" s="54" t="n"/>
      <c r="I258" s="54" t="n"/>
      <c r="J258" s="39">
        <f>IF($A258="","",IF($E258="Informational","GREEN",IF($G258="",IF($E258="Mandatory","RED","YELLOW"),IF($N258="Exact",IF(UPPER(TRIM($G258&amp;""))=UPPER(TRIM($F258&amp;"")),"GREEN",$P258),IF(NOT(ISNUMBER($G258)),$P258,IF($N258="Min",IF($G258&gt;=$F258,"GREEN",IF($G258&gt;=$F258-$O258,"YELLOW",$P258)),IF($N258="Max",IF($G258&lt;=$F258,"GREEN",IF($G258&lt;=$F258+$O258,"YELLOW",$P258)),IF($N258="Range",IF(ABS($G258-$F258)&lt;=$O258,"GREEN",$P258),"CHECK RULE"))))))))</f>
        <v/>
      </c>
      <c r="K258" s="39">
        <f>IF($A258="","",IF($H258="Non-Compliant","RED",IF(AND(OR($H258="Alternative Offer",$H258="Partially Compliant"),$J258="GREEN"),"YELLOW",IF(AND($J258="GREEN",ISNUMBER($R258),$R258&lt;Baseline!$B$9),"YELLOW",$J258))))</f>
        <v/>
      </c>
      <c r="L258" s="39">
        <f>IF($A258="","",IF($K258="GREEN","GREEN",IF(COUNTIFS(Exceptions!$B$5:$B$104,$A258,Exceptions!$C$5:$C$104,$B258,Exceptions!$D$5:$D$104,$C258,Exceptions!$G$5:$G$104,"Accepted",Exceptions!$H$5:$H$104,"&lt;&gt;")&gt;0,"CLEARED",$K258)))</f>
        <v/>
      </c>
      <c r="M258" s="39">
        <f>IF($A258="","",IF($H258="","Declaration missing",IF($H258="Not Stated","Not stated in quotation",IF(AND(ISNUMBER($R258),$R258&lt;Baseline!$B$9),"Low AI confidence - verify",IF(AND($H258="Fully Compliant",$J258&lt;&gt;"GREEN"),"Declared Fully - evidence differs","")))))</f>
        <v/>
      </c>
      <c r="N258" s="58">
        <f>IF($A258="","",IFERROR(INDEX(Baseline!$D$20:$D$49,MATCH($C258,Baseline!$A$20:$A$49,0)),""))</f>
        <v/>
      </c>
      <c r="O258" s="58">
        <f>IF($A258="","",IFERROR(INDEX(Baseline!$F$20:$F$49,MATCH($C258,Baseline!$A$20:$A$49,0)),0))</f>
        <v/>
      </c>
      <c r="P258" s="58">
        <f>IF($A258="","",IFERROR(INDEX(Baseline!$G$20:$G$49,MATCH($C258,Baseline!$A$20:$A$49,0)),"RED"))</f>
        <v/>
      </c>
      <c r="Q258" s="58">
        <f>IF($A258="","",$A258&amp;"|"&amp;$B258&amp;"|"&amp;$C258)</f>
        <v/>
      </c>
      <c r="R258" s="59" t="n"/>
      <c r="S258" s="60" t="n"/>
    </row>
    <row r="259" ht="15" customHeight="1" s="34">
      <c r="A259" s="54" t="n"/>
      <c r="B259" s="54" t="n"/>
      <c r="C259" s="54" t="n"/>
      <c r="D259" s="55">
        <f>IF($A259="","",IFERROR(INDEX(Baseline!$B$20:$B$49,MATCH($C259,Baseline!$A$20:$A$49,0)),"Line not in baseline"))</f>
        <v/>
      </c>
      <c r="E259" s="55">
        <f>IF($A259="","",IFERROR(INDEX(Baseline!$C$20:$C$49,MATCH($C259,Baseline!$A$20:$A$49,0)),""))</f>
        <v/>
      </c>
      <c r="F259" s="56">
        <f>IF($A259="","",IFERROR(INDEX(Baseline!$E$20:$E$49,MATCH($C259,Baseline!$A$20:$A$49,0)),""))</f>
        <v/>
      </c>
      <c r="G259" s="57" t="n"/>
      <c r="H259" s="54" t="n"/>
      <c r="I259" s="54" t="n"/>
      <c r="J259" s="39">
        <f>IF($A259="","",IF($E259="Informational","GREEN",IF($G259="",IF($E259="Mandatory","RED","YELLOW"),IF($N259="Exact",IF(UPPER(TRIM($G259&amp;""))=UPPER(TRIM($F259&amp;"")),"GREEN",$P259),IF(NOT(ISNUMBER($G259)),$P259,IF($N259="Min",IF($G259&gt;=$F259,"GREEN",IF($G259&gt;=$F259-$O259,"YELLOW",$P259)),IF($N259="Max",IF($G259&lt;=$F259,"GREEN",IF($G259&lt;=$F259+$O259,"YELLOW",$P259)),IF($N259="Range",IF(ABS($G259-$F259)&lt;=$O259,"GREEN",$P259),"CHECK RULE"))))))))</f>
        <v/>
      </c>
      <c r="K259" s="39">
        <f>IF($A259="","",IF($H259="Non-Compliant","RED",IF(AND(OR($H259="Alternative Offer",$H259="Partially Compliant"),$J259="GREEN"),"YELLOW",IF(AND($J259="GREEN",ISNUMBER($R259),$R259&lt;Baseline!$B$9),"YELLOW",$J259))))</f>
        <v/>
      </c>
      <c r="L259" s="39">
        <f>IF($A259="","",IF($K259="GREEN","GREEN",IF(COUNTIFS(Exceptions!$B$5:$B$104,$A259,Exceptions!$C$5:$C$104,$B259,Exceptions!$D$5:$D$104,$C259,Exceptions!$G$5:$G$104,"Accepted",Exceptions!$H$5:$H$104,"&lt;&gt;")&gt;0,"CLEARED",$K259)))</f>
        <v/>
      </c>
      <c r="M259" s="39">
        <f>IF($A259="","",IF($H259="","Declaration missing",IF($H259="Not Stated","Not stated in quotation",IF(AND(ISNUMBER($R259),$R259&lt;Baseline!$B$9),"Low AI confidence - verify",IF(AND($H259="Fully Compliant",$J259&lt;&gt;"GREEN"),"Declared Fully - evidence differs","")))))</f>
        <v/>
      </c>
      <c r="N259" s="58">
        <f>IF($A259="","",IFERROR(INDEX(Baseline!$D$20:$D$49,MATCH($C259,Baseline!$A$20:$A$49,0)),""))</f>
        <v/>
      </c>
      <c r="O259" s="58">
        <f>IF($A259="","",IFERROR(INDEX(Baseline!$F$20:$F$49,MATCH($C259,Baseline!$A$20:$A$49,0)),0))</f>
        <v/>
      </c>
      <c r="P259" s="58">
        <f>IF($A259="","",IFERROR(INDEX(Baseline!$G$20:$G$49,MATCH($C259,Baseline!$A$20:$A$49,0)),"RED"))</f>
        <v/>
      </c>
      <c r="Q259" s="58">
        <f>IF($A259="","",$A259&amp;"|"&amp;$B259&amp;"|"&amp;$C259)</f>
        <v/>
      </c>
      <c r="R259" s="59" t="n"/>
      <c r="S259" s="60" t="n"/>
    </row>
    <row r="260" ht="15" customHeight="1" s="34">
      <c r="A260" s="54" t="n"/>
      <c r="B260" s="54" t="n"/>
      <c r="C260" s="54" t="n"/>
      <c r="D260" s="55">
        <f>IF($A260="","",IFERROR(INDEX(Baseline!$B$20:$B$49,MATCH($C260,Baseline!$A$20:$A$49,0)),"Line not in baseline"))</f>
        <v/>
      </c>
      <c r="E260" s="55">
        <f>IF($A260="","",IFERROR(INDEX(Baseline!$C$20:$C$49,MATCH($C260,Baseline!$A$20:$A$49,0)),""))</f>
        <v/>
      </c>
      <c r="F260" s="56">
        <f>IF($A260="","",IFERROR(INDEX(Baseline!$E$20:$E$49,MATCH($C260,Baseline!$A$20:$A$49,0)),""))</f>
        <v/>
      </c>
      <c r="G260" s="57" t="n"/>
      <c r="H260" s="54" t="n"/>
      <c r="I260" s="54" t="n"/>
      <c r="J260" s="39">
        <f>IF($A260="","",IF($E260="Informational","GREEN",IF($G260="",IF($E260="Mandatory","RED","YELLOW"),IF($N260="Exact",IF(UPPER(TRIM($G260&amp;""))=UPPER(TRIM($F260&amp;"")),"GREEN",$P260),IF(NOT(ISNUMBER($G260)),$P260,IF($N260="Min",IF($G260&gt;=$F260,"GREEN",IF($G260&gt;=$F260-$O260,"YELLOW",$P260)),IF($N260="Max",IF($G260&lt;=$F260,"GREEN",IF($G260&lt;=$F260+$O260,"YELLOW",$P260)),IF($N260="Range",IF(ABS($G260-$F260)&lt;=$O260,"GREEN",$P260),"CHECK RULE"))))))))</f>
        <v/>
      </c>
      <c r="K260" s="39">
        <f>IF($A260="","",IF($H260="Non-Compliant","RED",IF(AND(OR($H260="Alternative Offer",$H260="Partially Compliant"),$J260="GREEN"),"YELLOW",IF(AND($J260="GREEN",ISNUMBER($R260),$R260&lt;Baseline!$B$9),"YELLOW",$J260))))</f>
        <v/>
      </c>
      <c r="L260" s="39">
        <f>IF($A260="","",IF($K260="GREEN","GREEN",IF(COUNTIFS(Exceptions!$B$5:$B$104,$A260,Exceptions!$C$5:$C$104,$B260,Exceptions!$D$5:$D$104,$C260,Exceptions!$G$5:$G$104,"Accepted",Exceptions!$H$5:$H$104,"&lt;&gt;")&gt;0,"CLEARED",$K260)))</f>
        <v/>
      </c>
      <c r="M260" s="39">
        <f>IF($A260="","",IF($H260="","Declaration missing",IF($H260="Not Stated","Not stated in quotation",IF(AND(ISNUMBER($R260),$R260&lt;Baseline!$B$9),"Low AI confidence - verify",IF(AND($H260="Fully Compliant",$J260&lt;&gt;"GREEN"),"Declared Fully - evidence differs","")))))</f>
        <v/>
      </c>
      <c r="N260" s="58">
        <f>IF($A260="","",IFERROR(INDEX(Baseline!$D$20:$D$49,MATCH($C260,Baseline!$A$20:$A$49,0)),""))</f>
        <v/>
      </c>
      <c r="O260" s="58">
        <f>IF($A260="","",IFERROR(INDEX(Baseline!$F$20:$F$49,MATCH($C260,Baseline!$A$20:$A$49,0)),0))</f>
        <v/>
      </c>
      <c r="P260" s="58">
        <f>IF($A260="","",IFERROR(INDEX(Baseline!$G$20:$G$49,MATCH($C260,Baseline!$A$20:$A$49,0)),"RED"))</f>
        <v/>
      </c>
      <c r="Q260" s="58">
        <f>IF($A260="","",$A260&amp;"|"&amp;$B260&amp;"|"&amp;$C260)</f>
        <v/>
      </c>
      <c r="R260" s="59" t="n"/>
      <c r="S260" s="60" t="n"/>
    </row>
    <row r="261" ht="15" customHeight="1" s="34">
      <c r="A261" s="54" t="n"/>
      <c r="B261" s="54" t="n"/>
      <c r="C261" s="54" t="n"/>
      <c r="D261" s="55">
        <f>IF($A261="","",IFERROR(INDEX(Baseline!$B$20:$B$49,MATCH($C261,Baseline!$A$20:$A$49,0)),"Line not in baseline"))</f>
        <v/>
      </c>
      <c r="E261" s="55">
        <f>IF($A261="","",IFERROR(INDEX(Baseline!$C$20:$C$49,MATCH($C261,Baseline!$A$20:$A$49,0)),""))</f>
        <v/>
      </c>
      <c r="F261" s="56">
        <f>IF($A261="","",IFERROR(INDEX(Baseline!$E$20:$E$49,MATCH($C261,Baseline!$A$20:$A$49,0)),""))</f>
        <v/>
      </c>
      <c r="G261" s="57" t="n"/>
      <c r="H261" s="54" t="n"/>
      <c r="I261" s="54" t="n"/>
      <c r="J261" s="39">
        <f>IF($A261="","",IF($E261="Informational","GREEN",IF($G261="",IF($E261="Mandatory","RED","YELLOW"),IF($N261="Exact",IF(UPPER(TRIM($G261&amp;""))=UPPER(TRIM($F261&amp;"")),"GREEN",$P261),IF(NOT(ISNUMBER($G261)),$P261,IF($N261="Min",IF($G261&gt;=$F261,"GREEN",IF($G261&gt;=$F261-$O261,"YELLOW",$P261)),IF($N261="Max",IF($G261&lt;=$F261,"GREEN",IF($G261&lt;=$F261+$O261,"YELLOW",$P261)),IF($N261="Range",IF(ABS($G261-$F261)&lt;=$O261,"GREEN",$P261),"CHECK RULE"))))))))</f>
        <v/>
      </c>
      <c r="K261" s="39">
        <f>IF($A261="","",IF($H261="Non-Compliant","RED",IF(AND(OR($H261="Alternative Offer",$H261="Partially Compliant"),$J261="GREEN"),"YELLOW",IF(AND($J261="GREEN",ISNUMBER($R261),$R261&lt;Baseline!$B$9),"YELLOW",$J261))))</f>
        <v/>
      </c>
      <c r="L261" s="39">
        <f>IF($A261="","",IF($K261="GREEN","GREEN",IF(COUNTIFS(Exceptions!$B$5:$B$104,$A261,Exceptions!$C$5:$C$104,$B261,Exceptions!$D$5:$D$104,$C261,Exceptions!$G$5:$G$104,"Accepted",Exceptions!$H$5:$H$104,"&lt;&gt;")&gt;0,"CLEARED",$K261)))</f>
        <v/>
      </c>
      <c r="M261" s="39">
        <f>IF($A261="","",IF($H261="","Declaration missing",IF($H261="Not Stated","Not stated in quotation",IF(AND(ISNUMBER($R261),$R261&lt;Baseline!$B$9),"Low AI confidence - verify",IF(AND($H261="Fully Compliant",$J261&lt;&gt;"GREEN"),"Declared Fully - evidence differs","")))))</f>
        <v/>
      </c>
      <c r="N261" s="58">
        <f>IF($A261="","",IFERROR(INDEX(Baseline!$D$20:$D$49,MATCH($C261,Baseline!$A$20:$A$49,0)),""))</f>
        <v/>
      </c>
      <c r="O261" s="58">
        <f>IF($A261="","",IFERROR(INDEX(Baseline!$F$20:$F$49,MATCH($C261,Baseline!$A$20:$A$49,0)),0))</f>
        <v/>
      </c>
      <c r="P261" s="58">
        <f>IF($A261="","",IFERROR(INDEX(Baseline!$G$20:$G$49,MATCH($C261,Baseline!$A$20:$A$49,0)),"RED"))</f>
        <v/>
      </c>
      <c r="Q261" s="58">
        <f>IF($A261="","",$A261&amp;"|"&amp;$B261&amp;"|"&amp;$C261)</f>
        <v/>
      </c>
      <c r="R261" s="59" t="n"/>
      <c r="S261" s="60" t="n"/>
    </row>
    <row r="262" ht="15" customHeight="1" s="34">
      <c r="A262" s="54" t="n"/>
      <c r="B262" s="54" t="n"/>
      <c r="C262" s="54" t="n"/>
      <c r="D262" s="55">
        <f>IF($A262="","",IFERROR(INDEX(Baseline!$B$20:$B$49,MATCH($C262,Baseline!$A$20:$A$49,0)),"Line not in baseline"))</f>
        <v/>
      </c>
      <c r="E262" s="55">
        <f>IF($A262="","",IFERROR(INDEX(Baseline!$C$20:$C$49,MATCH($C262,Baseline!$A$20:$A$49,0)),""))</f>
        <v/>
      </c>
      <c r="F262" s="56">
        <f>IF($A262="","",IFERROR(INDEX(Baseline!$E$20:$E$49,MATCH($C262,Baseline!$A$20:$A$49,0)),""))</f>
        <v/>
      </c>
      <c r="G262" s="57" t="n"/>
      <c r="H262" s="54" t="n"/>
      <c r="I262" s="54" t="n"/>
      <c r="J262" s="39">
        <f>IF($A262="","",IF($E262="Informational","GREEN",IF($G262="",IF($E262="Mandatory","RED","YELLOW"),IF($N262="Exact",IF(UPPER(TRIM($G262&amp;""))=UPPER(TRIM($F262&amp;"")),"GREEN",$P262),IF(NOT(ISNUMBER($G262)),$P262,IF($N262="Min",IF($G262&gt;=$F262,"GREEN",IF($G262&gt;=$F262-$O262,"YELLOW",$P262)),IF($N262="Max",IF($G262&lt;=$F262,"GREEN",IF($G262&lt;=$F262+$O262,"YELLOW",$P262)),IF($N262="Range",IF(ABS($G262-$F262)&lt;=$O262,"GREEN",$P262),"CHECK RULE"))))))))</f>
        <v/>
      </c>
      <c r="K262" s="39">
        <f>IF($A262="","",IF($H262="Non-Compliant","RED",IF(AND(OR($H262="Alternative Offer",$H262="Partially Compliant"),$J262="GREEN"),"YELLOW",IF(AND($J262="GREEN",ISNUMBER($R262),$R262&lt;Baseline!$B$9),"YELLOW",$J262))))</f>
        <v/>
      </c>
      <c r="L262" s="39">
        <f>IF($A262="","",IF($K262="GREEN","GREEN",IF(COUNTIFS(Exceptions!$B$5:$B$104,$A262,Exceptions!$C$5:$C$104,$B262,Exceptions!$D$5:$D$104,$C262,Exceptions!$G$5:$G$104,"Accepted",Exceptions!$H$5:$H$104,"&lt;&gt;")&gt;0,"CLEARED",$K262)))</f>
        <v/>
      </c>
      <c r="M262" s="39">
        <f>IF($A262="","",IF($H262="","Declaration missing",IF($H262="Not Stated","Not stated in quotation",IF(AND(ISNUMBER($R262),$R262&lt;Baseline!$B$9),"Low AI confidence - verify",IF(AND($H262="Fully Compliant",$J262&lt;&gt;"GREEN"),"Declared Fully - evidence differs","")))))</f>
        <v/>
      </c>
      <c r="N262" s="58">
        <f>IF($A262="","",IFERROR(INDEX(Baseline!$D$20:$D$49,MATCH($C262,Baseline!$A$20:$A$49,0)),""))</f>
        <v/>
      </c>
      <c r="O262" s="58">
        <f>IF($A262="","",IFERROR(INDEX(Baseline!$F$20:$F$49,MATCH($C262,Baseline!$A$20:$A$49,0)),0))</f>
        <v/>
      </c>
      <c r="P262" s="58">
        <f>IF($A262="","",IFERROR(INDEX(Baseline!$G$20:$G$49,MATCH($C262,Baseline!$A$20:$A$49,0)),"RED"))</f>
        <v/>
      </c>
      <c r="Q262" s="58">
        <f>IF($A262="","",$A262&amp;"|"&amp;$B262&amp;"|"&amp;$C262)</f>
        <v/>
      </c>
      <c r="R262" s="59" t="n"/>
      <c r="S262" s="60" t="n"/>
    </row>
    <row r="263" ht="15" customHeight="1" s="34">
      <c r="A263" s="54" t="n"/>
      <c r="B263" s="54" t="n"/>
      <c r="C263" s="54" t="n"/>
      <c r="D263" s="55">
        <f>IF($A263="","",IFERROR(INDEX(Baseline!$B$20:$B$49,MATCH($C263,Baseline!$A$20:$A$49,0)),"Line not in baseline"))</f>
        <v/>
      </c>
      <c r="E263" s="55">
        <f>IF($A263="","",IFERROR(INDEX(Baseline!$C$20:$C$49,MATCH($C263,Baseline!$A$20:$A$49,0)),""))</f>
        <v/>
      </c>
      <c r="F263" s="56">
        <f>IF($A263="","",IFERROR(INDEX(Baseline!$E$20:$E$49,MATCH($C263,Baseline!$A$20:$A$49,0)),""))</f>
        <v/>
      </c>
      <c r="G263" s="57" t="n"/>
      <c r="H263" s="54" t="n"/>
      <c r="I263" s="54" t="n"/>
      <c r="J263" s="39">
        <f>IF($A263="","",IF($E263="Informational","GREEN",IF($G263="",IF($E263="Mandatory","RED","YELLOW"),IF($N263="Exact",IF(UPPER(TRIM($G263&amp;""))=UPPER(TRIM($F263&amp;"")),"GREEN",$P263),IF(NOT(ISNUMBER($G263)),$P263,IF($N263="Min",IF($G263&gt;=$F263,"GREEN",IF($G263&gt;=$F263-$O263,"YELLOW",$P263)),IF($N263="Max",IF($G263&lt;=$F263,"GREEN",IF($G263&lt;=$F263+$O263,"YELLOW",$P263)),IF($N263="Range",IF(ABS($G263-$F263)&lt;=$O263,"GREEN",$P263),"CHECK RULE"))))))))</f>
        <v/>
      </c>
      <c r="K263" s="39">
        <f>IF($A263="","",IF($H263="Non-Compliant","RED",IF(AND(OR($H263="Alternative Offer",$H263="Partially Compliant"),$J263="GREEN"),"YELLOW",IF(AND($J263="GREEN",ISNUMBER($R263),$R263&lt;Baseline!$B$9),"YELLOW",$J263))))</f>
        <v/>
      </c>
      <c r="L263" s="39">
        <f>IF($A263="","",IF($K263="GREEN","GREEN",IF(COUNTIFS(Exceptions!$B$5:$B$104,$A263,Exceptions!$C$5:$C$104,$B263,Exceptions!$D$5:$D$104,$C263,Exceptions!$G$5:$G$104,"Accepted",Exceptions!$H$5:$H$104,"&lt;&gt;")&gt;0,"CLEARED",$K263)))</f>
        <v/>
      </c>
      <c r="M263" s="39">
        <f>IF($A263="","",IF($H263="","Declaration missing",IF($H263="Not Stated","Not stated in quotation",IF(AND(ISNUMBER($R263),$R263&lt;Baseline!$B$9),"Low AI confidence - verify",IF(AND($H263="Fully Compliant",$J263&lt;&gt;"GREEN"),"Declared Fully - evidence differs","")))))</f>
        <v/>
      </c>
      <c r="N263" s="58">
        <f>IF($A263="","",IFERROR(INDEX(Baseline!$D$20:$D$49,MATCH($C263,Baseline!$A$20:$A$49,0)),""))</f>
        <v/>
      </c>
      <c r="O263" s="58">
        <f>IF($A263="","",IFERROR(INDEX(Baseline!$F$20:$F$49,MATCH($C263,Baseline!$A$20:$A$49,0)),0))</f>
        <v/>
      </c>
      <c r="P263" s="58">
        <f>IF($A263="","",IFERROR(INDEX(Baseline!$G$20:$G$49,MATCH($C263,Baseline!$A$20:$A$49,0)),"RED"))</f>
        <v/>
      </c>
      <c r="Q263" s="58">
        <f>IF($A263="","",$A263&amp;"|"&amp;$B263&amp;"|"&amp;$C263)</f>
        <v/>
      </c>
      <c r="R263" s="59" t="n"/>
      <c r="S263" s="60" t="n"/>
    </row>
    <row r="264" ht="15" customHeight="1" s="34">
      <c r="A264" s="54" t="n"/>
      <c r="B264" s="54" t="n"/>
      <c r="C264" s="54" t="n"/>
      <c r="D264" s="55">
        <f>IF($A264="","",IFERROR(INDEX(Baseline!$B$20:$B$49,MATCH($C264,Baseline!$A$20:$A$49,0)),"Line not in baseline"))</f>
        <v/>
      </c>
      <c r="E264" s="55">
        <f>IF($A264="","",IFERROR(INDEX(Baseline!$C$20:$C$49,MATCH($C264,Baseline!$A$20:$A$49,0)),""))</f>
        <v/>
      </c>
      <c r="F264" s="56">
        <f>IF($A264="","",IFERROR(INDEX(Baseline!$E$20:$E$49,MATCH($C264,Baseline!$A$20:$A$49,0)),""))</f>
        <v/>
      </c>
      <c r="G264" s="57" t="n"/>
      <c r="H264" s="54" t="n"/>
      <c r="I264" s="54" t="n"/>
      <c r="J264" s="39">
        <f>IF($A264="","",IF($E264="Informational","GREEN",IF($G264="",IF($E264="Mandatory","RED","YELLOW"),IF($N264="Exact",IF(UPPER(TRIM($G264&amp;""))=UPPER(TRIM($F264&amp;"")),"GREEN",$P264),IF(NOT(ISNUMBER($G264)),$P264,IF($N264="Min",IF($G264&gt;=$F264,"GREEN",IF($G264&gt;=$F264-$O264,"YELLOW",$P264)),IF($N264="Max",IF($G264&lt;=$F264,"GREEN",IF($G264&lt;=$F264+$O264,"YELLOW",$P264)),IF($N264="Range",IF(ABS($G264-$F264)&lt;=$O264,"GREEN",$P264),"CHECK RULE"))))))))</f>
        <v/>
      </c>
      <c r="K264" s="39">
        <f>IF($A264="","",IF($H264="Non-Compliant","RED",IF(AND(OR($H264="Alternative Offer",$H264="Partially Compliant"),$J264="GREEN"),"YELLOW",IF(AND($J264="GREEN",ISNUMBER($R264),$R264&lt;Baseline!$B$9),"YELLOW",$J264))))</f>
        <v/>
      </c>
      <c r="L264" s="39">
        <f>IF($A264="","",IF($K264="GREEN","GREEN",IF(COUNTIFS(Exceptions!$B$5:$B$104,$A264,Exceptions!$C$5:$C$104,$B264,Exceptions!$D$5:$D$104,$C264,Exceptions!$G$5:$G$104,"Accepted",Exceptions!$H$5:$H$104,"&lt;&gt;")&gt;0,"CLEARED",$K264)))</f>
        <v/>
      </c>
      <c r="M264" s="39">
        <f>IF($A264="","",IF($H264="","Declaration missing",IF($H264="Not Stated","Not stated in quotation",IF(AND(ISNUMBER($R264),$R264&lt;Baseline!$B$9),"Low AI confidence - verify",IF(AND($H264="Fully Compliant",$J264&lt;&gt;"GREEN"),"Declared Fully - evidence differs","")))))</f>
        <v/>
      </c>
      <c r="N264" s="58">
        <f>IF($A264="","",IFERROR(INDEX(Baseline!$D$20:$D$49,MATCH($C264,Baseline!$A$20:$A$49,0)),""))</f>
        <v/>
      </c>
      <c r="O264" s="58">
        <f>IF($A264="","",IFERROR(INDEX(Baseline!$F$20:$F$49,MATCH($C264,Baseline!$A$20:$A$49,0)),0))</f>
        <v/>
      </c>
      <c r="P264" s="58">
        <f>IF($A264="","",IFERROR(INDEX(Baseline!$G$20:$G$49,MATCH($C264,Baseline!$A$20:$A$49,0)),"RED"))</f>
        <v/>
      </c>
      <c r="Q264" s="58">
        <f>IF($A264="","",$A264&amp;"|"&amp;$B264&amp;"|"&amp;$C264)</f>
        <v/>
      </c>
      <c r="R264" s="59" t="n"/>
      <c r="S264" s="60" t="n"/>
    </row>
    <row r="265" ht="15" customHeight="1" s="34">
      <c r="A265" s="54" t="n"/>
      <c r="B265" s="54" t="n"/>
      <c r="C265" s="54" t="n"/>
      <c r="D265" s="55">
        <f>IF($A265="","",IFERROR(INDEX(Baseline!$B$20:$B$49,MATCH($C265,Baseline!$A$20:$A$49,0)),"Line not in baseline"))</f>
        <v/>
      </c>
      <c r="E265" s="55">
        <f>IF($A265="","",IFERROR(INDEX(Baseline!$C$20:$C$49,MATCH($C265,Baseline!$A$20:$A$49,0)),""))</f>
        <v/>
      </c>
      <c r="F265" s="56">
        <f>IF($A265="","",IFERROR(INDEX(Baseline!$E$20:$E$49,MATCH($C265,Baseline!$A$20:$A$49,0)),""))</f>
        <v/>
      </c>
      <c r="G265" s="57" t="n"/>
      <c r="H265" s="54" t="n"/>
      <c r="I265" s="54" t="n"/>
      <c r="J265" s="39">
        <f>IF($A265="","",IF($E265="Informational","GREEN",IF($G265="",IF($E265="Mandatory","RED","YELLOW"),IF($N265="Exact",IF(UPPER(TRIM($G265&amp;""))=UPPER(TRIM($F265&amp;"")),"GREEN",$P265),IF(NOT(ISNUMBER($G265)),$P265,IF($N265="Min",IF($G265&gt;=$F265,"GREEN",IF($G265&gt;=$F265-$O265,"YELLOW",$P265)),IF($N265="Max",IF($G265&lt;=$F265,"GREEN",IF($G265&lt;=$F265+$O265,"YELLOW",$P265)),IF($N265="Range",IF(ABS($G265-$F265)&lt;=$O265,"GREEN",$P265),"CHECK RULE"))))))))</f>
        <v/>
      </c>
      <c r="K265" s="39">
        <f>IF($A265="","",IF($H265="Non-Compliant","RED",IF(AND(OR($H265="Alternative Offer",$H265="Partially Compliant"),$J265="GREEN"),"YELLOW",IF(AND($J265="GREEN",ISNUMBER($R265),$R265&lt;Baseline!$B$9),"YELLOW",$J265))))</f>
        <v/>
      </c>
      <c r="L265" s="39">
        <f>IF($A265="","",IF($K265="GREEN","GREEN",IF(COUNTIFS(Exceptions!$B$5:$B$104,$A265,Exceptions!$C$5:$C$104,$B265,Exceptions!$D$5:$D$104,$C265,Exceptions!$G$5:$G$104,"Accepted",Exceptions!$H$5:$H$104,"&lt;&gt;")&gt;0,"CLEARED",$K265)))</f>
        <v/>
      </c>
      <c r="M265" s="39">
        <f>IF($A265="","",IF($H265="","Declaration missing",IF($H265="Not Stated","Not stated in quotation",IF(AND(ISNUMBER($R265),$R265&lt;Baseline!$B$9),"Low AI confidence - verify",IF(AND($H265="Fully Compliant",$J265&lt;&gt;"GREEN"),"Declared Fully - evidence differs","")))))</f>
        <v/>
      </c>
      <c r="N265" s="58">
        <f>IF($A265="","",IFERROR(INDEX(Baseline!$D$20:$D$49,MATCH($C265,Baseline!$A$20:$A$49,0)),""))</f>
        <v/>
      </c>
      <c r="O265" s="58">
        <f>IF($A265="","",IFERROR(INDEX(Baseline!$F$20:$F$49,MATCH($C265,Baseline!$A$20:$A$49,0)),0))</f>
        <v/>
      </c>
      <c r="P265" s="58">
        <f>IF($A265="","",IFERROR(INDEX(Baseline!$G$20:$G$49,MATCH($C265,Baseline!$A$20:$A$49,0)),"RED"))</f>
        <v/>
      </c>
      <c r="Q265" s="58">
        <f>IF($A265="","",$A265&amp;"|"&amp;$B265&amp;"|"&amp;$C265)</f>
        <v/>
      </c>
      <c r="R265" s="59" t="n"/>
      <c r="S265" s="60" t="n"/>
    </row>
    <row r="266" ht="15" customHeight="1" s="34">
      <c r="A266" s="54" t="n"/>
      <c r="B266" s="54" t="n"/>
      <c r="C266" s="54" t="n"/>
      <c r="D266" s="55">
        <f>IF($A266="","",IFERROR(INDEX(Baseline!$B$20:$B$49,MATCH($C266,Baseline!$A$20:$A$49,0)),"Line not in baseline"))</f>
        <v/>
      </c>
      <c r="E266" s="55">
        <f>IF($A266="","",IFERROR(INDEX(Baseline!$C$20:$C$49,MATCH($C266,Baseline!$A$20:$A$49,0)),""))</f>
        <v/>
      </c>
      <c r="F266" s="56">
        <f>IF($A266="","",IFERROR(INDEX(Baseline!$E$20:$E$49,MATCH($C266,Baseline!$A$20:$A$49,0)),""))</f>
        <v/>
      </c>
      <c r="G266" s="57" t="n"/>
      <c r="H266" s="54" t="n"/>
      <c r="I266" s="54" t="n"/>
      <c r="J266" s="39">
        <f>IF($A266="","",IF($E266="Informational","GREEN",IF($G266="",IF($E266="Mandatory","RED","YELLOW"),IF($N266="Exact",IF(UPPER(TRIM($G266&amp;""))=UPPER(TRIM($F266&amp;"")),"GREEN",$P266),IF(NOT(ISNUMBER($G266)),$P266,IF($N266="Min",IF($G266&gt;=$F266,"GREEN",IF($G266&gt;=$F266-$O266,"YELLOW",$P266)),IF($N266="Max",IF($G266&lt;=$F266,"GREEN",IF($G266&lt;=$F266+$O266,"YELLOW",$P266)),IF($N266="Range",IF(ABS($G266-$F266)&lt;=$O266,"GREEN",$P266),"CHECK RULE"))))))))</f>
        <v/>
      </c>
      <c r="K266" s="39">
        <f>IF($A266="","",IF($H266="Non-Compliant","RED",IF(AND(OR($H266="Alternative Offer",$H266="Partially Compliant"),$J266="GREEN"),"YELLOW",IF(AND($J266="GREEN",ISNUMBER($R266),$R266&lt;Baseline!$B$9),"YELLOW",$J266))))</f>
        <v/>
      </c>
      <c r="L266" s="39">
        <f>IF($A266="","",IF($K266="GREEN","GREEN",IF(COUNTIFS(Exceptions!$B$5:$B$104,$A266,Exceptions!$C$5:$C$104,$B266,Exceptions!$D$5:$D$104,$C266,Exceptions!$G$5:$G$104,"Accepted",Exceptions!$H$5:$H$104,"&lt;&gt;")&gt;0,"CLEARED",$K266)))</f>
        <v/>
      </c>
      <c r="M266" s="39">
        <f>IF($A266="","",IF($H266="","Declaration missing",IF($H266="Not Stated","Not stated in quotation",IF(AND(ISNUMBER($R266),$R266&lt;Baseline!$B$9),"Low AI confidence - verify",IF(AND($H266="Fully Compliant",$J266&lt;&gt;"GREEN"),"Declared Fully - evidence differs","")))))</f>
        <v/>
      </c>
      <c r="N266" s="58">
        <f>IF($A266="","",IFERROR(INDEX(Baseline!$D$20:$D$49,MATCH($C266,Baseline!$A$20:$A$49,0)),""))</f>
        <v/>
      </c>
      <c r="O266" s="58">
        <f>IF($A266="","",IFERROR(INDEX(Baseline!$F$20:$F$49,MATCH($C266,Baseline!$A$20:$A$49,0)),0))</f>
        <v/>
      </c>
      <c r="P266" s="58">
        <f>IF($A266="","",IFERROR(INDEX(Baseline!$G$20:$G$49,MATCH($C266,Baseline!$A$20:$A$49,0)),"RED"))</f>
        <v/>
      </c>
      <c r="Q266" s="58">
        <f>IF($A266="","",$A266&amp;"|"&amp;$B266&amp;"|"&amp;$C266)</f>
        <v/>
      </c>
      <c r="R266" s="59" t="n"/>
      <c r="S266" s="60" t="n"/>
    </row>
    <row r="267" ht="15" customHeight="1" s="34">
      <c r="A267" s="54" t="n"/>
      <c r="B267" s="54" t="n"/>
      <c r="C267" s="54" t="n"/>
      <c r="D267" s="55">
        <f>IF($A267="","",IFERROR(INDEX(Baseline!$B$20:$B$49,MATCH($C267,Baseline!$A$20:$A$49,0)),"Line not in baseline"))</f>
        <v/>
      </c>
      <c r="E267" s="55">
        <f>IF($A267="","",IFERROR(INDEX(Baseline!$C$20:$C$49,MATCH($C267,Baseline!$A$20:$A$49,0)),""))</f>
        <v/>
      </c>
      <c r="F267" s="56">
        <f>IF($A267="","",IFERROR(INDEX(Baseline!$E$20:$E$49,MATCH($C267,Baseline!$A$20:$A$49,0)),""))</f>
        <v/>
      </c>
      <c r="G267" s="57" t="n"/>
      <c r="H267" s="54" t="n"/>
      <c r="I267" s="54" t="n"/>
      <c r="J267" s="39">
        <f>IF($A267="","",IF($E267="Informational","GREEN",IF($G267="",IF($E267="Mandatory","RED","YELLOW"),IF($N267="Exact",IF(UPPER(TRIM($G267&amp;""))=UPPER(TRIM($F267&amp;"")),"GREEN",$P267),IF(NOT(ISNUMBER($G267)),$P267,IF($N267="Min",IF($G267&gt;=$F267,"GREEN",IF($G267&gt;=$F267-$O267,"YELLOW",$P267)),IF($N267="Max",IF($G267&lt;=$F267,"GREEN",IF($G267&lt;=$F267+$O267,"YELLOW",$P267)),IF($N267="Range",IF(ABS($G267-$F267)&lt;=$O267,"GREEN",$P267),"CHECK RULE"))))))))</f>
        <v/>
      </c>
      <c r="K267" s="39">
        <f>IF($A267="","",IF($H267="Non-Compliant","RED",IF(AND(OR($H267="Alternative Offer",$H267="Partially Compliant"),$J267="GREEN"),"YELLOW",IF(AND($J267="GREEN",ISNUMBER($R267),$R267&lt;Baseline!$B$9),"YELLOW",$J267))))</f>
        <v/>
      </c>
      <c r="L267" s="39">
        <f>IF($A267="","",IF($K267="GREEN","GREEN",IF(COUNTIFS(Exceptions!$B$5:$B$104,$A267,Exceptions!$C$5:$C$104,$B267,Exceptions!$D$5:$D$104,$C267,Exceptions!$G$5:$G$104,"Accepted",Exceptions!$H$5:$H$104,"&lt;&gt;")&gt;0,"CLEARED",$K267)))</f>
        <v/>
      </c>
      <c r="M267" s="39">
        <f>IF($A267="","",IF($H267="","Declaration missing",IF($H267="Not Stated","Not stated in quotation",IF(AND(ISNUMBER($R267),$R267&lt;Baseline!$B$9),"Low AI confidence - verify",IF(AND($H267="Fully Compliant",$J267&lt;&gt;"GREEN"),"Declared Fully - evidence differs","")))))</f>
        <v/>
      </c>
      <c r="N267" s="58">
        <f>IF($A267="","",IFERROR(INDEX(Baseline!$D$20:$D$49,MATCH($C267,Baseline!$A$20:$A$49,0)),""))</f>
        <v/>
      </c>
      <c r="O267" s="58">
        <f>IF($A267="","",IFERROR(INDEX(Baseline!$F$20:$F$49,MATCH($C267,Baseline!$A$20:$A$49,0)),0))</f>
        <v/>
      </c>
      <c r="P267" s="58">
        <f>IF($A267="","",IFERROR(INDEX(Baseline!$G$20:$G$49,MATCH($C267,Baseline!$A$20:$A$49,0)),"RED"))</f>
        <v/>
      </c>
      <c r="Q267" s="58">
        <f>IF($A267="","",$A267&amp;"|"&amp;$B267&amp;"|"&amp;$C267)</f>
        <v/>
      </c>
      <c r="R267" s="59" t="n"/>
      <c r="S267" s="60" t="n"/>
    </row>
    <row r="268" ht="15" customHeight="1" s="34">
      <c r="A268" s="54" t="n"/>
      <c r="B268" s="54" t="n"/>
      <c r="C268" s="54" t="n"/>
      <c r="D268" s="55">
        <f>IF($A268="","",IFERROR(INDEX(Baseline!$B$20:$B$49,MATCH($C268,Baseline!$A$20:$A$49,0)),"Line not in baseline"))</f>
        <v/>
      </c>
      <c r="E268" s="55">
        <f>IF($A268="","",IFERROR(INDEX(Baseline!$C$20:$C$49,MATCH($C268,Baseline!$A$20:$A$49,0)),""))</f>
        <v/>
      </c>
      <c r="F268" s="56">
        <f>IF($A268="","",IFERROR(INDEX(Baseline!$E$20:$E$49,MATCH($C268,Baseline!$A$20:$A$49,0)),""))</f>
        <v/>
      </c>
      <c r="G268" s="57" t="n"/>
      <c r="H268" s="54" t="n"/>
      <c r="I268" s="54" t="n"/>
      <c r="J268" s="39">
        <f>IF($A268="","",IF($E268="Informational","GREEN",IF($G268="",IF($E268="Mandatory","RED","YELLOW"),IF($N268="Exact",IF(UPPER(TRIM($G268&amp;""))=UPPER(TRIM($F268&amp;"")),"GREEN",$P268),IF(NOT(ISNUMBER($G268)),$P268,IF($N268="Min",IF($G268&gt;=$F268,"GREEN",IF($G268&gt;=$F268-$O268,"YELLOW",$P268)),IF($N268="Max",IF($G268&lt;=$F268,"GREEN",IF($G268&lt;=$F268+$O268,"YELLOW",$P268)),IF($N268="Range",IF(ABS($G268-$F268)&lt;=$O268,"GREEN",$P268),"CHECK RULE"))))))))</f>
        <v/>
      </c>
      <c r="K268" s="39">
        <f>IF($A268="","",IF($H268="Non-Compliant","RED",IF(AND(OR($H268="Alternative Offer",$H268="Partially Compliant"),$J268="GREEN"),"YELLOW",IF(AND($J268="GREEN",ISNUMBER($R268),$R268&lt;Baseline!$B$9),"YELLOW",$J268))))</f>
        <v/>
      </c>
      <c r="L268" s="39">
        <f>IF($A268="","",IF($K268="GREEN","GREEN",IF(COUNTIFS(Exceptions!$B$5:$B$104,$A268,Exceptions!$C$5:$C$104,$B268,Exceptions!$D$5:$D$104,$C268,Exceptions!$G$5:$G$104,"Accepted",Exceptions!$H$5:$H$104,"&lt;&gt;")&gt;0,"CLEARED",$K268)))</f>
        <v/>
      </c>
      <c r="M268" s="39">
        <f>IF($A268="","",IF($H268="","Declaration missing",IF($H268="Not Stated","Not stated in quotation",IF(AND(ISNUMBER($R268),$R268&lt;Baseline!$B$9),"Low AI confidence - verify",IF(AND($H268="Fully Compliant",$J268&lt;&gt;"GREEN"),"Declared Fully - evidence differs","")))))</f>
        <v/>
      </c>
      <c r="N268" s="58">
        <f>IF($A268="","",IFERROR(INDEX(Baseline!$D$20:$D$49,MATCH($C268,Baseline!$A$20:$A$49,0)),""))</f>
        <v/>
      </c>
      <c r="O268" s="58">
        <f>IF($A268="","",IFERROR(INDEX(Baseline!$F$20:$F$49,MATCH($C268,Baseline!$A$20:$A$49,0)),0))</f>
        <v/>
      </c>
      <c r="P268" s="58">
        <f>IF($A268="","",IFERROR(INDEX(Baseline!$G$20:$G$49,MATCH($C268,Baseline!$A$20:$A$49,0)),"RED"))</f>
        <v/>
      </c>
      <c r="Q268" s="58">
        <f>IF($A268="","",$A268&amp;"|"&amp;$B268&amp;"|"&amp;$C268)</f>
        <v/>
      </c>
      <c r="R268" s="59" t="n"/>
      <c r="S268" s="60" t="n"/>
    </row>
    <row r="269" ht="15" customHeight="1" s="34">
      <c r="A269" s="54" t="n"/>
      <c r="B269" s="54" t="n"/>
      <c r="C269" s="54" t="n"/>
      <c r="D269" s="55">
        <f>IF($A269="","",IFERROR(INDEX(Baseline!$B$20:$B$49,MATCH($C269,Baseline!$A$20:$A$49,0)),"Line not in baseline"))</f>
        <v/>
      </c>
      <c r="E269" s="55">
        <f>IF($A269="","",IFERROR(INDEX(Baseline!$C$20:$C$49,MATCH($C269,Baseline!$A$20:$A$49,0)),""))</f>
        <v/>
      </c>
      <c r="F269" s="56">
        <f>IF($A269="","",IFERROR(INDEX(Baseline!$E$20:$E$49,MATCH($C269,Baseline!$A$20:$A$49,0)),""))</f>
        <v/>
      </c>
      <c r="G269" s="57" t="n"/>
      <c r="H269" s="54" t="n"/>
      <c r="I269" s="54" t="n"/>
      <c r="J269" s="39">
        <f>IF($A269="","",IF($E269="Informational","GREEN",IF($G269="",IF($E269="Mandatory","RED","YELLOW"),IF($N269="Exact",IF(UPPER(TRIM($G269&amp;""))=UPPER(TRIM($F269&amp;"")),"GREEN",$P269),IF(NOT(ISNUMBER($G269)),$P269,IF($N269="Min",IF($G269&gt;=$F269,"GREEN",IF($G269&gt;=$F269-$O269,"YELLOW",$P269)),IF($N269="Max",IF($G269&lt;=$F269,"GREEN",IF($G269&lt;=$F269+$O269,"YELLOW",$P269)),IF($N269="Range",IF(ABS($G269-$F269)&lt;=$O269,"GREEN",$P269),"CHECK RULE"))))))))</f>
        <v/>
      </c>
      <c r="K269" s="39">
        <f>IF($A269="","",IF($H269="Non-Compliant","RED",IF(AND(OR($H269="Alternative Offer",$H269="Partially Compliant"),$J269="GREEN"),"YELLOW",IF(AND($J269="GREEN",ISNUMBER($R269),$R269&lt;Baseline!$B$9),"YELLOW",$J269))))</f>
        <v/>
      </c>
      <c r="L269" s="39">
        <f>IF($A269="","",IF($K269="GREEN","GREEN",IF(COUNTIFS(Exceptions!$B$5:$B$104,$A269,Exceptions!$C$5:$C$104,$B269,Exceptions!$D$5:$D$104,$C269,Exceptions!$G$5:$G$104,"Accepted",Exceptions!$H$5:$H$104,"&lt;&gt;")&gt;0,"CLEARED",$K269)))</f>
        <v/>
      </c>
      <c r="M269" s="39">
        <f>IF($A269="","",IF($H269="","Declaration missing",IF($H269="Not Stated","Not stated in quotation",IF(AND(ISNUMBER($R269),$R269&lt;Baseline!$B$9),"Low AI confidence - verify",IF(AND($H269="Fully Compliant",$J269&lt;&gt;"GREEN"),"Declared Fully - evidence differs","")))))</f>
        <v/>
      </c>
      <c r="N269" s="58">
        <f>IF($A269="","",IFERROR(INDEX(Baseline!$D$20:$D$49,MATCH($C269,Baseline!$A$20:$A$49,0)),""))</f>
        <v/>
      </c>
      <c r="O269" s="58">
        <f>IF($A269="","",IFERROR(INDEX(Baseline!$F$20:$F$49,MATCH($C269,Baseline!$A$20:$A$49,0)),0))</f>
        <v/>
      </c>
      <c r="P269" s="58">
        <f>IF($A269="","",IFERROR(INDEX(Baseline!$G$20:$G$49,MATCH($C269,Baseline!$A$20:$A$49,0)),"RED"))</f>
        <v/>
      </c>
      <c r="Q269" s="58">
        <f>IF($A269="","",$A269&amp;"|"&amp;$B269&amp;"|"&amp;$C269)</f>
        <v/>
      </c>
      <c r="R269" s="59" t="n"/>
      <c r="S269" s="60" t="n"/>
    </row>
    <row r="270" ht="15" customHeight="1" s="34">
      <c r="A270" s="54" t="n"/>
      <c r="B270" s="54" t="n"/>
      <c r="C270" s="54" t="n"/>
      <c r="D270" s="55">
        <f>IF($A270="","",IFERROR(INDEX(Baseline!$B$20:$B$49,MATCH($C270,Baseline!$A$20:$A$49,0)),"Line not in baseline"))</f>
        <v/>
      </c>
      <c r="E270" s="55">
        <f>IF($A270="","",IFERROR(INDEX(Baseline!$C$20:$C$49,MATCH($C270,Baseline!$A$20:$A$49,0)),""))</f>
        <v/>
      </c>
      <c r="F270" s="56">
        <f>IF($A270="","",IFERROR(INDEX(Baseline!$E$20:$E$49,MATCH($C270,Baseline!$A$20:$A$49,0)),""))</f>
        <v/>
      </c>
      <c r="G270" s="57" t="n"/>
      <c r="H270" s="54" t="n"/>
      <c r="I270" s="54" t="n"/>
      <c r="J270" s="39">
        <f>IF($A270="","",IF($E270="Informational","GREEN",IF($G270="",IF($E270="Mandatory","RED","YELLOW"),IF($N270="Exact",IF(UPPER(TRIM($G270&amp;""))=UPPER(TRIM($F270&amp;"")),"GREEN",$P270),IF(NOT(ISNUMBER($G270)),$P270,IF($N270="Min",IF($G270&gt;=$F270,"GREEN",IF($G270&gt;=$F270-$O270,"YELLOW",$P270)),IF($N270="Max",IF($G270&lt;=$F270,"GREEN",IF($G270&lt;=$F270+$O270,"YELLOW",$P270)),IF($N270="Range",IF(ABS($G270-$F270)&lt;=$O270,"GREEN",$P270),"CHECK RULE"))))))))</f>
        <v/>
      </c>
      <c r="K270" s="39">
        <f>IF($A270="","",IF($H270="Non-Compliant","RED",IF(AND(OR($H270="Alternative Offer",$H270="Partially Compliant"),$J270="GREEN"),"YELLOW",IF(AND($J270="GREEN",ISNUMBER($R270),$R270&lt;Baseline!$B$9),"YELLOW",$J270))))</f>
        <v/>
      </c>
      <c r="L270" s="39">
        <f>IF($A270="","",IF($K270="GREEN","GREEN",IF(COUNTIFS(Exceptions!$B$5:$B$104,$A270,Exceptions!$C$5:$C$104,$B270,Exceptions!$D$5:$D$104,$C270,Exceptions!$G$5:$G$104,"Accepted",Exceptions!$H$5:$H$104,"&lt;&gt;")&gt;0,"CLEARED",$K270)))</f>
        <v/>
      </c>
      <c r="M270" s="39">
        <f>IF($A270="","",IF($H270="","Declaration missing",IF($H270="Not Stated","Not stated in quotation",IF(AND(ISNUMBER($R270),$R270&lt;Baseline!$B$9),"Low AI confidence - verify",IF(AND($H270="Fully Compliant",$J270&lt;&gt;"GREEN"),"Declared Fully - evidence differs","")))))</f>
        <v/>
      </c>
      <c r="N270" s="58">
        <f>IF($A270="","",IFERROR(INDEX(Baseline!$D$20:$D$49,MATCH($C270,Baseline!$A$20:$A$49,0)),""))</f>
        <v/>
      </c>
      <c r="O270" s="58">
        <f>IF($A270="","",IFERROR(INDEX(Baseline!$F$20:$F$49,MATCH($C270,Baseline!$A$20:$A$49,0)),0))</f>
        <v/>
      </c>
      <c r="P270" s="58">
        <f>IF($A270="","",IFERROR(INDEX(Baseline!$G$20:$G$49,MATCH($C270,Baseline!$A$20:$A$49,0)),"RED"))</f>
        <v/>
      </c>
      <c r="Q270" s="58">
        <f>IF($A270="","",$A270&amp;"|"&amp;$B270&amp;"|"&amp;$C270)</f>
        <v/>
      </c>
      <c r="R270" s="59" t="n"/>
      <c r="S270" s="60" t="n"/>
    </row>
    <row r="271" ht="15" customHeight="1" s="34">
      <c r="A271" s="54" t="n"/>
      <c r="B271" s="54" t="n"/>
      <c r="C271" s="54" t="n"/>
      <c r="D271" s="55">
        <f>IF($A271="","",IFERROR(INDEX(Baseline!$B$20:$B$49,MATCH($C271,Baseline!$A$20:$A$49,0)),"Line not in baseline"))</f>
        <v/>
      </c>
      <c r="E271" s="55">
        <f>IF($A271="","",IFERROR(INDEX(Baseline!$C$20:$C$49,MATCH($C271,Baseline!$A$20:$A$49,0)),""))</f>
        <v/>
      </c>
      <c r="F271" s="56">
        <f>IF($A271="","",IFERROR(INDEX(Baseline!$E$20:$E$49,MATCH($C271,Baseline!$A$20:$A$49,0)),""))</f>
        <v/>
      </c>
      <c r="G271" s="57" t="n"/>
      <c r="H271" s="54" t="n"/>
      <c r="I271" s="54" t="n"/>
      <c r="J271" s="39">
        <f>IF($A271="","",IF($E271="Informational","GREEN",IF($G271="",IF($E271="Mandatory","RED","YELLOW"),IF($N271="Exact",IF(UPPER(TRIM($G271&amp;""))=UPPER(TRIM($F271&amp;"")),"GREEN",$P271),IF(NOT(ISNUMBER($G271)),$P271,IF($N271="Min",IF($G271&gt;=$F271,"GREEN",IF($G271&gt;=$F271-$O271,"YELLOW",$P271)),IF($N271="Max",IF($G271&lt;=$F271,"GREEN",IF($G271&lt;=$F271+$O271,"YELLOW",$P271)),IF($N271="Range",IF(ABS($G271-$F271)&lt;=$O271,"GREEN",$P271),"CHECK RULE"))))))))</f>
        <v/>
      </c>
      <c r="K271" s="39">
        <f>IF($A271="","",IF($H271="Non-Compliant","RED",IF(AND(OR($H271="Alternative Offer",$H271="Partially Compliant"),$J271="GREEN"),"YELLOW",IF(AND($J271="GREEN",ISNUMBER($R271),$R271&lt;Baseline!$B$9),"YELLOW",$J271))))</f>
        <v/>
      </c>
      <c r="L271" s="39">
        <f>IF($A271="","",IF($K271="GREEN","GREEN",IF(COUNTIFS(Exceptions!$B$5:$B$104,$A271,Exceptions!$C$5:$C$104,$B271,Exceptions!$D$5:$D$104,$C271,Exceptions!$G$5:$G$104,"Accepted",Exceptions!$H$5:$H$104,"&lt;&gt;")&gt;0,"CLEARED",$K271)))</f>
        <v/>
      </c>
      <c r="M271" s="39">
        <f>IF($A271="","",IF($H271="","Declaration missing",IF($H271="Not Stated","Not stated in quotation",IF(AND(ISNUMBER($R271),$R271&lt;Baseline!$B$9),"Low AI confidence - verify",IF(AND($H271="Fully Compliant",$J271&lt;&gt;"GREEN"),"Declared Fully - evidence differs","")))))</f>
        <v/>
      </c>
      <c r="N271" s="58">
        <f>IF($A271="","",IFERROR(INDEX(Baseline!$D$20:$D$49,MATCH($C271,Baseline!$A$20:$A$49,0)),""))</f>
        <v/>
      </c>
      <c r="O271" s="58">
        <f>IF($A271="","",IFERROR(INDEX(Baseline!$F$20:$F$49,MATCH($C271,Baseline!$A$20:$A$49,0)),0))</f>
        <v/>
      </c>
      <c r="P271" s="58">
        <f>IF($A271="","",IFERROR(INDEX(Baseline!$G$20:$G$49,MATCH($C271,Baseline!$A$20:$A$49,0)),"RED"))</f>
        <v/>
      </c>
      <c r="Q271" s="58">
        <f>IF($A271="","",$A271&amp;"|"&amp;$B271&amp;"|"&amp;$C271)</f>
        <v/>
      </c>
      <c r="R271" s="59" t="n"/>
      <c r="S271" s="60" t="n"/>
    </row>
    <row r="272" ht="15" customHeight="1" s="34">
      <c r="A272" s="54" t="n"/>
      <c r="B272" s="54" t="n"/>
      <c r="C272" s="54" t="n"/>
      <c r="D272" s="55">
        <f>IF($A272="","",IFERROR(INDEX(Baseline!$B$20:$B$49,MATCH($C272,Baseline!$A$20:$A$49,0)),"Line not in baseline"))</f>
        <v/>
      </c>
      <c r="E272" s="55">
        <f>IF($A272="","",IFERROR(INDEX(Baseline!$C$20:$C$49,MATCH($C272,Baseline!$A$20:$A$49,0)),""))</f>
        <v/>
      </c>
      <c r="F272" s="56">
        <f>IF($A272="","",IFERROR(INDEX(Baseline!$E$20:$E$49,MATCH($C272,Baseline!$A$20:$A$49,0)),""))</f>
        <v/>
      </c>
      <c r="G272" s="57" t="n"/>
      <c r="H272" s="54" t="n"/>
      <c r="I272" s="54" t="n"/>
      <c r="J272" s="39">
        <f>IF($A272="","",IF($E272="Informational","GREEN",IF($G272="",IF($E272="Mandatory","RED","YELLOW"),IF($N272="Exact",IF(UPPER(TRIM($G272&amp;""))=UPPER(TRIM($F272&amp;"")),"GREEN",$P272),IF(NOT(ISNUMBER($G272)),$P272,IF($N272="Min",IF($G272&gt;=$F272,"GREEN",IF($G272&gt;=$F272-$O272,"YELLOW",$P272)),IF($N272="Max",IF($G272&lt;=$F272,"GREEN",IF($G272&lt;=$F272+$O272,"YELLOW",$P272)),IF($N272="Range",IF(ABS($G272-$F272)&lt;=$O272,"GREEN",$P272),"CHECK RULE"))))))))</f>
        <v/>
      </c>
      <c r="K272" s="39">
        <f>IF($A272="","",IF($H272="Non-Compliant","RED",IF(AND(OR($H272="Alternative Offer",$H272="Partially Compliant"),$J272="GREEN"),"YELLOW",IF(AND($J272="GREEN",ISNUMBER($R272),$R272&lt;Baseline!$B$9),"YELLOW",$J272))))</f>
        <v/>
      </c>
      <c r="L272" s="39">
        <f>IF($A272="","",IF($K272="GREEN","GREEN",IF(COUNTIFS(Exceptions!$B$5:$B$104,$A272,Exceptions!$C$5:$C$104,$B272,Exceptions!$D$5:$D$104,$C272,Exceptions!$G$5:$G$104,"Accepted",Exceptions!$H$5:$H$104,"&lt;&gt;")&gt;0,"CLEARED",$K272)))</f>
        <v/>
      </c>
      <c r="M272" s="39">
        <f>IF($A272="","",IF($H272="","Declaration missing",IF($H272="Not Stated","Not stated in quotation",IF(AND(ISNUMBER($R272),$R272&lt;Baseline!$B$9),"Low AI confidence - verify",IF(AND($H272="Fully Compliant",$J272&lt;&gt;"GREEN"),"Declared Fully - evidence differs","")))))</f>
        <v/>
      </c>
      <c r="N272" s="58">
        <f>IF($A272="","",IFERROR(INDEX(Baseline!$D$20:$D$49,MATCH($C272,Baseline!$A$20:$A$49,0)),""))</f>
        <v/>
      </c>
      <c r="O272" s="58">
        <f>IF($A272="","",IFERROR(INDEX(Baseline!$F$20:$F$49,MATCH($C272,Baseline!$A$20:$A$49,0)),0))</f>
        <v/>
      </c>
      <c r="P272" s="58">
        <f>IF($A272="","",IFERROR(INDEX(Baseline!$G$20:$G$49,MATCH($C272,Baseline!$A$20:$A$49,0)),"RED"))</f>
        <v/>
      </c>
      <c r="Q272" s="58">
        <f>IF($A272="","",$A272&amp;"|"&amp;$B272&amp;"|"&amp;$C272)</f>
        <v/>
      </c>
      <c r="R272" s="59" t="n"/>
      <c r="S272" s="60" t="n"/>
    </row>
    <row r="273" ht="15" customHeight="1" s="34">
      <c r="A273" s="54" t="n"/>
      <c r="B273" s="54" t="n"/>
      <c r="C273" s="54" t="n"/>
      <c r="D273" s="55">
        <f>IF($A273="","",IFERROR(INDEX(Baseline!$B$20:$B$49,MATCH($C273,Baseline!$A$20:$A$49,0)),"Line not in baseline"))</f>
        <v/>
      </c>
      <c r="E273" s="55">
        <f>IF($A273="","",IFERROR(INDEX(Baseline!$C$20:$C$49,MATCH($C273,Baseline!$A$20:$A$49,0)),""))</f>
        <v/>
      </c>
      <c r="F273" s="56">
        <f>IF($A273="","",IFERROR(INDEX(Baseline!$E$20:$E$49,MATCH($C273,Baseline!$A$20:$A$49,0)),""))</f>
        <v/>
      </c>
      <c r="G273" s="57" t="n"/>
      <c r="H273" s="54" t="n"/>
      <c r="I273" s="54" t="n"/>
      <c r="J273" s="39">
        <f>IF($A273="","",IF($E273="Informational","GREEN",IF($G273="",IF($E273="Mandatory","RED","YELLOW"),IF($N273="Exact",IF(UPPER(TRIM($G273&amp;""))=UPPER(TRIM($F273&amp;"")),"GREEN",$P273),IF(NOT(ISNUMBER($G273)),$P273,IF($N273="Min",IF($G273&gt;=$F273,"GREEN",IF($G273&gt;=$F273-$O273,"YELLOW",$P273)),IF($N273="Max",IF($G273&lt;=$F273,"GREEN",IF($G273&lt;=$F273+$O273,"YELLOW",$P273)),IF($N273="Range",IF(ABS($G273-$F273)&lt;=$O273,"GREEN",$P273),"CHECK RULE"))))))))</f>
        <v/>
      </c>
      <c r="K273" s="39">
        <f>IF($A273="","",IF($H273="Non-Compliant","RED",IF(AND(OR($H273="Alternative Offer",$H273="Partially Compliant"),$J273="GREEN"),"YELLOW",IF(AND($J273="GREEN",ISNUMBER($R273),$R273&lt;Baseline!$B$9),"YELLOW",$J273))))</f>
        <v/>
      </c>
      <c r="L273" s="39">
        <f>IF($A273="","",IF($K273="GREEN","GREEN",IF(COUNTIFS(Exceptions!$B$5:$B$104,$A273,Exceptions!$C$5:$C$104,$B273,Exceptions!$D$5:$D$104,$C273,Exceptions!$G$5:$G$104,"Accepted",Exceptions!$H$5:$H$104,"&lt;&gt;")&gt;0,"CLEARED",$K273)))</f>
        <v/>
      </c>
      <c r="M273" s="39">
        <f>IF($A273="","",IF($H273="","Declaration missing",IF($H273="Not Stated","Not stated in quotation",IF(AND(ISNUMBER($R273),$R273&lt;Baseline!$B$9),"Low AI confidence - verify",IF(AND($H273="Fully Compliant",$J273&lt;&gt;"GREEN"),"Declared Fully - evidence differs","")))))</f>
        <v/>
      </c>
      <c r="N273" s="58">
        <f>IF($A273="","",IFERROR(INDEX(Baseline!$D$20:$D$49,MATCH($C273,Baseline!$A$20:$A$49,0)),""))</f>
        <v/>
      </c>
      <c r="O273" s="58">
        <f>IF($A273="","",IFERROR(INDEX(Baseline!$F$20:$F$49,MATCH($C273,Baseline!$A$20:$A$49,0)),0))</f>
        <v/>
      </c>
      <c r="P273" s="58">
        <f>IF($A273="","",IFERROR(INDEX(Baseline!$G$20:$G$49,MATCH($C273,Baseline!$A$20:$A$49,0)),"RED"))</f>
        <v/>
      </c>
      <c r="Q273" s="58">
        <f>IF($A273="","",$A273&amp;"|"&amp;$B273&amp;"|"&amp;$C273)</f>
        <v/>
      </c>
      <c r="R273" s="59" t="n"/>
      <c r="S273" s="60" t="n"/>
    </row>
    <row r="274" ht="15" customHeight="1" s="34">
      <c r="A274" s="54" t="n"/>
      <c r="B274" s="54" t="n"/>
      <c r="C274" s="54" t="n"/>
      <c r="D274" s="55">
        <f>IF($A274="","",IFERROR(INDEX(Baseline!$B$20:$B$49,MATCH($C274,Baseline!$A$20:$A$49,0)),"Line not in baseline"))</f>
        <v/>
      </c>
      <c r="E274" s="55">
        <f>IF($A274="","",IFERROR(INDEX(Baseline!$C$20:$C$49,MATCH($C274,Baseline!$A$20:$A$49,0)),""))</f>
        <v/>
      </c>
      <c r="F274" s="56">
        <f>IF($A274="","",IFERROR(INDEX(Baseline!$E$20:$E$49,MATCH($C274,Baseline!$A$20:$A$49,0)),""))</f>
        <v/>
      </c>
      <c r="G274" s="57" t="n"/>
      <c r="H274" s="54" t="n"/>
      <c r="I274" s="54" t="n"/>
      <c r="J274" s="39">
        <f>IF($A274="","",IF($E274="Informational","GREEN",IF($G274="",IF($E274="Mandatory","RED","YELLOW"),IF($N274="Exact",IF(UPPER(TRIM($G274&amp;""))=UPPER(TRIM($F274&amp;"")),"GREEN",$P274),IF(NOT(ISNUMBER($G274)),$P274,IF($N274="Min",IF($G274&gt;=$F274,"GREEN",IF($G274&gt;=$F274-$O274,"YELLOW",$P274)),IF($N274="Max",IF($G274&lt;=$F274,"GREEN",IF($G274&lt;=$F274+$O274,"YELLOW",$P274)),IF($N274="Range",IF(ABS($G274-$F274)&lt;=$O274,"GREEN",$P274),"CHECK RULE"))))))))</f>
        <v/>
      </c>
      <c r="K274" s="39">
        <f>IF($A274="","",IF($H274="Non-Compliant","RED",IF(AND(OR($H274="Alternative Offer",$H274="Partially Compliant"),$J274="GREEN"),"YELLOW",IF(AND($J274="GREEN",ISNUMBER($R274),$R274&lt;Baseline!$B$9),"YELLOW",$J274))))</f>
        <v/>
      </c>
      <c r="L274" s="39">
        <f>IF($A274="","",IF($K274="GREEN","GREEN",IF(COUNTIFS(Exceptions!$B$5:$B$104,$A274,Exceptions!$C$5:$C$104,$B274,Exceptions!$D$5:$D$104,$C274,Exceptions!$G$5:$G$104,"Accepted",Exceptions!$H$5:$H$104,"&lt;&gt;")&gt;0,"CLEARED",$K274)))</f>
        <v/>
      </c>
      <c r="M274" s="39">
        <f>IF($A274="","",IF($H274="","Declaration missing",IF($H274="Not Stated","Not stated in quotation",IF(AND(ISNUMBER($R274),$R274&lt;Baseline!$B$9),"Low AI confidence - verify",IF(AND($H274="Fully Compliant",$J274&lt;&gt;"GREEN"),"Declared Fully - evidence differs","")))))</f>
        <v/>
      </c>
      <c r="N274" s="58">
        <f>IF($A274="","",IFERROR(INDEX(Baseline!$D$20:$D$49,MATCH($C274,Baseline!$A$20:$A$49,0)),""))</f>
        <v/>
      </c>
      <c r="O274" s="58">
        <f>IF($A274="","",IFERROR(INDEX(Baseline!$F$20:$F$49,MATCH($C274,Baseline!$A$20:$A$49,0)),0))</f>
        <v/>
      </c>
      <c r="P274" s="58">
        <f>IF($A274="","",IFERROR(INDEX(Baseline!$G$20:$G$49,MATCH($C274,Baseline!$A$20:$A$49,0)),"RED"))</f>
        <v/>
      </c>
      <c r="Q274" s="58">
        <f>IF($A274="","",$A274&amp;"|"&amp;$B274&amp;"|"&amp;$C274)</f>
        <v/>
      </c>
      <c r="R274" s="59" t="n"/>
      <c r="S274" s="60" t="n"/>
    </row>
    <row r="275" ht="15" customHeight="1" s="34">
      <c r="A275" s="54" t="n"/>
      <c r="B275" s="54" t="n"/>
      <c r="C275" s="54" t="n"/>
      <c r="D275" s="55">
        <f>IF($A275="","",IFERROR(INDEX(Baseline!$B$20:$B$49,MATCH($C275,Baseline!$A$20:$A$49,0)),"Line not in baseline"))</f>
        <v/>
      </c>
      <c r="E275" s="55">
        <f>IF($A275="","",IFERROR(INDEX(Baseline!$C$20:$C$49,MATCH($C275,Baseline!$A$20:$A$49,0)),""))</f>
        <v/>
      </c>
      <c r="F275" s="56">
        <f>IF($A275="","",IFERROR(INDEX(Baseline!$E$20:$E$49,MATCH($C275,Baseline!$A$20:$A$49,0)),""))</f>
        <v/>
      </c>
      <c r="G275" s="57" t="n"/>
      <c r="H275" s="54" t="n"/>
      <c r="I275" s="54" t="n"/>
      <c r="J275" s="39">
        <f>IF($A275="","",IF($E275="Informational","GREEN",IF($G275="",IF($E275="Mandatory","RED","YELLOW"),IF($N275="Exact",IF(UPPER(TRIM($G275&amp;""))=UPPER(TRIM($F275&amp;"")),"GREEN",$P275),IF(NOT(ISNUMBER($G275)),$P275,IF($N275="Min",IF($G275&gt;=$F275,"GREEN",IF($G275&gt;=$F275-$O275,"YELLOW",$P275)),IF($N275="Max",IF($G275&lt;=$F275,"GREEN",IF($G275&lt;=$F275+$O275,"YELLOW",$P275)),IF($N275="Range",IF(ABS($G275-$F275)&lt;=$O275,"GREEN",$P275),"CHECK RULE"))))))))</f>
        <v/>
      </c>
      <c r="K275" s="39">
        <f>IF($A275="","",IF($H275="Non-Compliant","RED",IF(AND(OR($H275="Alternative Offer",$H275="Partially Compliant"),$J275="GREEN"),"YELLOW",IF(AND($J275="GREEN",ISNUMBER($R275),$R275&lt;Baseline!$B$9),"YELLOW",$J275))))</f>
        <v/>
      </c>
      <c r="L275" s="39">
        <f>IF($A275="","",IF($K275="GREEN","GREEN",IF(COUNTIFS(Exceptions!$B$5:$B$104,$A275,Exceptions!$C$5:$C$104,$B275,Exceptions!$D$5:$D$104,$C275,Exceptions!$G$5:$G$104,"Accepted",Exceptions!$H$5:$H$104,"&lt;&gt;")&gt;0,"CLEARED",$K275)))</f>
        <v/>
      </c>
      <c r="M275" s="39">
        <f>IF($A275="","",IF($H275="","Declaration missing",IF($H275="Not Stated","Not stated in quotation",IF(AND(ISNUMBER($R275),$R275&lt;Baseline!$B$9),"Low AI confidence - verify",IF(AND($H275="Fully Compliant",$J275&lt;&gt;"GREEN"),"Declared Fully - evidence differs","")))))</f>
        <v/>
      </c>
      <c r="N275" s="58">
        <f>IF($A275="","",IFERROR(INDEX(Baseline!$D$20:$D$49,MATCH($C275,Baseline!$A$20:$A$49,0)),""))</f>
        <v/>
      </c>
      <c r="O275" s="58">
        <f>IF($A275="","",IFERROR(INDEX(Baseline!$F$20:$F$49,MATCH($C275,Baseline!$A$20:$A$49,0)),0))</f>
        <v/>
      </c>
      <c r="P275" s="58">
        <f>IF($A275="","",IFERROR(INDEX(Baseline!$G$20:$G$49,MATCH($C275,Baseline!$A$20:$A$49,0)),"RED"))</f>
        <v/>
      </c>
      <c r="Q275" s="58">
        <f>IF($A275="","",$A275&amp;"|"&amp;$B275&amp;"|"&amp;$C275)</f>
        <v/>
      </c>
      <c r="R275" s="59" t="n"/>
      <c r="S275" s="60" t="n"/>
    </row>
    <row r="276" ht="15" customHeight="1" s="34">
      <c r="A276" s="54" t="n"/>
      <c r="B276" s="54" t="n"/>
      <c r="C276" s="54" t="n"/>
      <c r="D276" s="55">
        <f>IF($A276="","",IFERROR(INDEX(Baseline!$B$20:$B$49,MATCH($C276,Baseline!$A$20:$A$49,0)),"Line not in baseline"))</f>
        <v/>
      </c>
      <c r="E276" s="55">
        <f>IF($A276="","",IFERROR(INDEX(Baseline!$C$20:$C$49,MATCH($C276,Baseline!$A$20:$A$49,0)),""))</f>
        <v/>
      </c>
      <c r="F276" s="56">
        <f>IF($A276="","",IFERROR(INDEX(Baseline!$E$20:$E$49,MATCH($C276,Baseline!$A$20:$A$49,0)),""))</f>
        <v/>
      </c>
      <c r="G276" s="57" t="n"/>
      <c r="H276" s="54" t="n"/>
      <c r="I276" s="54" t="n"/>
      <c r="J276" s="39">
        <f>IF($A276="","",IF($E276="Informational","GREEN",IF($G276="",IF($E276="Mandatory","RED","YELLOW"),IF($N276="Exact",IF(UPPER(TRIM($G276&amp;""))=UPPER(TRIM($F276&amp;"")),"GREEN",$P276),IF(NOT(ISNUMBER($G276)),$P276,IF($N276="Min",IF($G276&gt;=$F276,"GREEN",IF($G276&gt;=$F276-$O276,"YELLOW",$P276)),IF($N276="Max",IF($G276&lt;=$F276,"GREEN",IF($G276&lt;=$F276+$O276,"YELLOW",$P276)),IF($N276="Range",IF(ABS($G276-$F276)&lt;=$O276,"GREEN",$P276),"CHECK RULE"))))))))</f>
        <v/>
      </c>
      <c r="K276" s="39">
        <f>IF($A276="","",IF($H276="Non-Compliant","RED",IF(AND(OR($H276="Alternative Offer",$H276="Partially Compliant"),$J276="GREEN"),"YELLOW",IF(AND($J276="GREEN",ISNUMBER($R276),$R276&lt;Baseline!$B$9),"YELLOW",$J276))))</f>
        <v/>
      </c>
      <c r="L276" s="39">
        <f>IF($A276="","",IF($K276="GREEN","GREEN",IF(COUNTIFS(Exceptions!$B$5:$B$104,$A276,Exceptions!$C$5:$C$104,$B276,Exceptions!$D$5:$D$104,$C276,Exceptions!$G$5:$G$104,"Accepted",Exceptions!$H$5:$H$104,"&lt;&gt;")&gt;0,"CLEARED",$K276)))</f>
        <v/>
      </c>
      <c r="M276" s="39">
        <f>IF($A276="","",IF($H276="","Declaration missing",IF($H276="Not Stated","Not stated in quotation",IF(AND(ISNUMBER($R276),$R276&lt;Baseline!$B$9),"Low AI confidence - verify",IF(AND($H276="Fully Compliant",$J276&lt;&gt;"GREEN"),"Declared Fully - evidence differs","")))))</f>
        <v/>
      </c>
      <c r="N276" s="58">
        <f>IF($A276="","",IFERROR(INDEX(Baseline!$D$20:$D$49,MATCH($C276,Baseline!$A$20:$A$49,0)),""))</f>
        <v/>
      </c>
      <c r="O276" s="58">
        <f>IF($A276="","",IFERROR(INDEX(Baseline!$F$20:$F$49,MATCH($C276,Baseline!$A$20:$A$49,0)),0))</f>
        <v/>
      </c>
      <c r="P276" s="58">
        <f>IF($A276="","",IFERROR(INDEX(Baseline!$G$20:$G$49,MATCH($C276,Baseline!$A$20:$A$49,0)),"RED"))</f>
        <v/>
      </c>
      <c r="Q276" s="58">
        <f>IF($A276="","",$A276&amp;"|"&amp;$B276&amp;"|"&amp;$C276)</f>
        <v/>
      </c>
      <c r="R276" s="59" t="n"/>
      <c r="S276" s="60" t="n"/>
    </row>
    <row r="277" ht="15" customHeight="1" s="34">
      <c r="A277" s="54" t="n"/>
      <c r="B277" s="54" t="n"/>
      <c r="C277" s="54" t="n"/>
      <c r="D277" s="55">
        <f>IF($A277="","",IFERROR(INDEX(Baseline!$B$20:$B$49,MATCH($C277,Baseline!$A$20:$A$49,0)),"Line not in baseline"))</f>
        <v/>
      </c>
      <c r="E277" s="55">
        <f>IF($A277="","",IFERROR(INDEX(Baseline!$C$20:$C$49,MATCH($C277,Baseline!$A$20:$A$49,0)),""))</f>
        <v/>
      </c>
      <c r="F277" s="56">
        <f>IF($A277="","",IFERROR(INDEX(Baseline!$E$20:$E$49,MATCH($C277,Baseline!$A$20:$A$49,0)),""))</f>
        <v/>
      </c>
      <c r="G277" s="57" t="n"/>
      <c r="H277" s="54" t="n"/>
      <c r="I277" s="54" t="n"/>
      <c r="J277" s="39">
        <f>IF($A277="","",IF($E277="Informational","GREEN",IF($G277="",IF($E277="Mandatory","RED","YELLOW"),IF($N277="Exact",IF(UPPER(TRIM($G277&amp;""))=UPPER(TRIM($F277&amp;"")),"GREEN",$P277),IF(NOT(ISNUMBER($G277)),$P277,IF($N277="Min",IF($G277&gt;=$F277,"GREEN",IF($G277&gt;=$F277-$O277,"YELLOW",$P277)),IF($N277="Max",IF($G277&lt;=$F277,"GREEN",IF($G277&lt;=$F277+$O277,"YELLOW",$P277)),IF($N277="Range",IF(ABS($G277-$F277)&lt;=$O277,"GREEN",$P277),"CHECK RULE"))))))))</f>
        <v/>
      </c>
      <c r="K277" s="39">
        <f>IF($A277="","",IF($H277="Non-Compliant","RED",IF(AND(OR($H277="Alternative Offer",$H277="Partially Compliant"),$J277="GREEN"),"YELLOW",IF(AND($J277="GREEN",ISNUMBER($R277),$R277&lt;Baseline!$B$9),"YELLOW",$J277))))</f>
        <v/>
      </c>
      <c r="L277" s="39">
        <f>IF($A277="","",IF($K277="GREEN","GREEN",IF(COUNTIFS(Exceptions!$B$5:$B$104,$A277,Exceptions!$C$5:$C$104,$B277,Exceptions!$D$5:$D$104,$C277,Exceptions!$G$5:$G$104,"Accepted",Exceptions!$H$5:$H$104,"&lt;&gt;")&gt;0,"CLEARED",$K277)))</f>
        <v/>
      </c>
      <c r="M277" s="39">
        <f>IF($A277="","",IF($H277="","Declaration missing",IF($H277="Not Stated","Not stated in quotation",IF(AND(ISNUMBER($R277),$R277&lt;Baseline!$B$9),"Low AI confidence - verify",IF(AND($H277="Fully Compliant",$J277&lt;&gt;"GREEN"),"Declared Fully - evidence differs","")))))</f>
        <v/>
      </c>
      <c r="N277" s="58">
        <f>IF($A277="","",IFERROR(INDEX(Baseline!$D$20:$D$49,MATCH($C277,Baseline!$A$20:$A$49,0)),""))</f>
        <v/>
      </c>
      <c r="O277" s="58">
        <f>IF($A277="","",IFERROR(INDEX(Baseline!$F$20:$F$49,MATCH($C277,Baseline!$A$20:$A$49,0)),0))</f>
        <v/>
      </c>
      <c r="P277" s="58">
        <f>IF($A277="","",IFERROR(INDEX(Baseline!$G$20:$G$49,MATCH($C277,Baseline!$A$20:$A$49,0)),"RED"))</f>
        <v/>
      </c>
      <c r="Q277" s="58">
        <f>IF($A277="","",$A277&amp;"|"&amp;$B277&amp;"|"&amp;$C277)</f>
        <v/>
      </c>
      <c r="R277" s="59" t="n"/>
      <c r="S277" s="60" t="n"/>
    </row>
    <row r="278" ht="15" customHeight="1" s="34">
      <c r="A278" s="54" t="n"/>
      <c r="B278" s="54" t="n"/>
      <c r="C278" s="54" t="n"/>
      <c r="D278" s="55">
        <f>IF($A278="","",IFERROR(INDEX(Baseline!$B$20:$B$49,MATCH($C278,Baseline!$A$20:$A$49,0)),"Line not in baseline"))</f>
        <v/>
      </c>
      <c r="E278" s="55">
        <f>IF($A278="","",IFERROR(INDEX(Baseline!$C$20:$C$49,MATCH($C278,Baseline!$A$20:$A$49,0)),""))</f>
        <v/>
      </c>
      <c r="F278" s="56">
        <f>IF($A278="","",IFERROR(INDEX(Baseline!$E$20:$E$49,MATCH($C278,Baseline!$A$20:$A$49,0)),""))</f>
        <v/>
      </c>
      <c r="G278" s="57" t="n"/>
      <c r="H278" s="54" t="n"/>
      <c r="I278" s="54" t="n"/>
      <c r="J278" s="39">
        <f>IF($A278="","",IF($E278="Informational","GREEN",IF($G278="",IF($E278="Mandatory","RED","YELLOW"),IF($N278="Exact",IF(UPPER(TRIM($G278&amp;""))=UPPER(TRIM($F278&amp;"")),"GREEN",$P278),IF(NOT(ISNUMBER($G278)),$P278,IF($N278="Min",IF($G278&gt;=$F278,"GREEN",IF($G278&gt;=$F278-$O278,"YELLOW",$P278)),IF($N278="Max",IF($G278&lt;=$F278,"GREEN",IF($G278&lt;=$F278+$O278,"YELLOW",$P278)),IF($N278="Range",IF(ABS($G278-$F278)&lt;=$O278,"GREEN",$P278),"CHECK RULE"))))))))</f>
        <v/>
      </c>
      <c r="K278" s="39">
        <f>IF($A278="","",IF($H278="Non-Compliant","RED",IF(AND(OR($H278="Alternative Offer",$H278="Partially Compliant"),$J278="GREEN"),"YELLOW",IF(AND($J278="GREEN",ISNUMBER($R278),$R278&lt;Baseline!$B$9),"YELLOW",$J278))))</f>
        <v/>
      </c>
      <c r="L278" s="39">
        <f>IF($A278="","",IF($K278="GREEN","GREEN",IF(COUNTIFS(Exceptions!$B$5:$B$104,$A278,Exceptions!$C$5:$C$104,$B278,Exceptions!$D$5:$D$104,$C278,Exceptions!$G$5:$G$104,"Accepted",Exceptions!$H$5:$H$104,"&lt;&gt;")&gt;0,"CLEARED",$K278)))</f>
        <v/>
      </c>
      <c r="M278" s="39">
        <f>IF($A278="","",IF($H278="","Declaration missing",IF($H278="Not Stated","Not stated in quotation",IF(AND(ISNUMBER($R278),$R278&lt;Baseline!$B$9),"Low AI confidence - verify",IF(AND($H278="Fully Compliant",$J278&lt;&gt;"GREEN"),"Declared Fully - evidence differs","")))))</f>
        <v/>
      </c>
      <c r="N278" s="58">
        <f>IF($A278="","",IFERROR(INDEX(Baseline!$D$20:$D$49,MATCH($C278,Baseline!$A$20:$A$49,0)),""))</f>
        <v/>
      </c>
      <c r="O278" s="58">
        <f>IF($A278="","",IFERROR(INDEX(Baseline!$F$20:$F$49,MATCH($C278,Baseline!$A$20:$A$49,0)),0))</f>
        <v/>
      </c>
      <c r="P278" s="58">
        <f>IF($A278="","",IFERROR(INDEX(Baseline!$G$20:$G$49,MATCH($C278,Baseline!$A$20:$A$49,0)),"RED"))</f>
        <v/>
      </c>
      <c r="Q278" s="58">
        <f>IF($A278="","",$A278&amp;"|"&amp;$B278&amp;"|"&amp;$C278)</f>
        <v/>
      </c>
      <c r="R278" s="59" t="n"/>
      <c r="S278" s="60" t="n"/>
    </row>
    <row r="279" ht="15" customHeight="1" s="34">
      <c r="A279" s="54" t="n"/>
      <c r="B279" s="54" t="n"/>
      <c r="C279" s="54" t="n"/>
      <c r="D279" s="55">
        <f>IF($A279="","",IFERROR(INDEX(Baseline!$B$20:$B$49,MATCH($C279,Baseline!$A$20:$A$49,0)),"Line not in baseline"))</f>
        <v/>
      </c>
      <c r="E279" s="55">
        <f>IF($A279="","",IFERROR(INDEX(Baseline!$C$20:$C$49,MATCH($C279,Baseline!$A$20:$A$49,0)),""))</f>
        <v/>
      </c>
      <c r="F279" s="56">
        <f>IF($A279="","",IFERROR(INDEX(Baseline!$E$20:$E$49,MATCH($C279,Baseline!$A$20:$A$49,0)),""))</f>
        <v/>
      </c>
      <c r="G279" s="57" t="n"/>
      <c r="H279" s="54" t="n"/>
      <c r="I279" s="54" t="n"/>
      <c r="J279" s="39">
        <f>IF($A279="","",IF($E279="Informational","GREEN",IF($G279="",IF($E279="Mandatory","RED","YELLOW"),IF($N279="Exact",IF(UPPER(TRIM($G279&amp;""))=UPPER(TRIM($F279&amp;"")),"GREEN",$P279),IF(NOT(ISNUMBER($G279)),$P279,IF($N279="Min",IF($G279&gt;=$F279,"GREEN",IF($G279&gt;=$F279-$O279,"YELLOW",$P279)),IF($N279="Max",IF($G279&lt;=$F279,"GREEN",IF($G279&lt;=$F279+$O279,"YELLOW",$P279)),IF($N279="Range",IF(ABS($G279-$F279)&lt;=$O279,"GREEN",$P279),"CHECK RULE"))))))))</f>
        <v/>
      </c>
      <c r="K279" s="39">
        <f>IF($A279="","",IF($H279="Non-Compliant","RED",IF(AND(OR($H279="Alternative Offer",$H279="Partially Compliant"),$J279="GREEN"),"YELLOW",IF(AND($J279="GREEN",ISNUMBER($R279),$R279&lt;Baseline!$B$9),"YELLOW",$J279))))</f>
        <v/>
      </c>
      <c r="L279" s="39">
        <f>IF($A279="","",IF($K279="GREEN","GREEN",IF(COUNTIFS(Exceptions!$B$5:$B$104,$A279,Exceptions!$C$5:$C$104,$B279,Exceptions!$D$5:$D$104,$C279,Exceptions!$G$5:$G$104,"Accepted",Exceptions!$H$5:$H$104,"&lt;&gt;")&gt;0,"CLEARED",$K279)))</f>
        <v/>
      </c>
      <c r="M279" s="39">
        <f>IF($A279="","",IF($H279="","Declaration missing",IF($H279="Not Stated","Not stated in quotation",IF(AND(ISNUMBER($R279),$R279&lt;Baseline!$B$9),"Low AI confidence - verify",IF(AND($H279="Fully Compliant",$J279&lt;&gt;"GREEN"),"Declared Fully - evidence differs","")))))</f>
        <v/>
      </c>
      <c r="N279" s="58">
        <f>IF($A279="","",IFERROR(INDEX(Baseline!$D$20:$D$49,MATCH($C279,Baseline!$A$20:$A$49,0)),""))</f>
        <v/>
      </c>
      <c r="O279" s="58">
        <f>IF($A279="","",IFERROR(INDEX(Baseline!$F$20:$F$49,MATCH($C279,Baseline!$A$20:$A$49,0)),0))</f>
        <v/>
      </c>
      <c r="P279" s="58">
        <f>IF($A279="","",IFERROR(INDEX(Baseline!$G$20:$G$49,MATCH($C279,Baseline!$A$20:$A$49,0)),"RED"))</f>
        <v/>
      </c>
      <c r="Q279" s="58">
        <f>IF($A279="","",$A279&amp;"|"&amp;$B279&amp;"|"&amp;$C279)</f>
        <v/>
      </c>
      <c r="R279" s="59" t="n"/>
      <c r="S279" s="60" t="n"/>
    </row>
    <row r="280" ht="15" customHeight="1" s="34">
      <c r="A280" s="54" t="n"/>
      <c r="B280" s="54" t="n"/>
      <c r="C280" s="54" t="n"/>
      <c r="D280" s="55">
        <f>IF($A280="","",IFERROR(INDEX(Baseline!$B$20:$B$49,MATCH($C280,Baseline!$A$20:$A$49,0)),"Line not in baseline"))</f>
        <v/>
      </c>
      <c r="E280" s="55">
        <f>IF($A280="","",IFERROR(INDEX(Baseline!$C$20:$C$49,MATCH($C280,Baseline!$A$20:$A$49,0)),""))</f>
        <v/>
      </c>
      <c r="F280" s="56">
        <f>IF($A280="","",IFERROR(INDEX(Baseline!$E$20:$E$49,MATCH($C280,Baseline!$A$20:$A$49,0)),""))</f>
        <v/>
      </c>
      <c r="G280" s="57" t="n"/>
      <c r="H280" s="54" t="n"/>
      <c r="I280" s="54" t="n"/>
      <c r="J280" s="39">
        <f>IF($A280="","",IF($E280="Informational","GREEN",IF($G280="",IF($E280="Mandatory","RED","YELLOW"),IF($N280="Exact",IF(UPPER(TRIM($G280&amp;""))=UPPER(TRIM($F280&amp;"")),"GREEN",$P280),IF(NOT(ISNUMBER($G280)),$P280,IF($N280="Min",IF($G280&gt;=$F280,"GREEN",IF($G280&gt;=$F280-$O280,"YELLOW",$P280)),IF($N280="Max",IF($G280&lt;=$F280,"GREEN",IF($G280&lt;=$F280+$O280,"YELLOW",$P280)),IF($N280="Range",IF(ABS($G280-$F280)&lt;=$O280,"GREEN",$P280),"CHECK RULE"))))))))</f>
        <v/>
      </c>
      <c r="K280" s="39">
        <f>IF($A280="","",IF($H280="Non-Compliant","RED",IF(AND(OR($H280="Alternative Offer",$H280="Partially Compliant"),$J280="GREEN"),"YELLOW",IF(AND($J280="GREEN",ISNUMBER($R280),$R280&lt;Baseline!$B$9),"YELLOW",$J280))))</f>
        <v/>
      </c>
      <c r="L280" s="39">
        <f>IF($A280="","",IF($K280="GREEN","GREEN",IF(COUNTIFS(Exceptions!$B$5:$B$104,$A280,Exceptions!$C$5:$C$104,$B280,Exceptions!$D$5:$D$104,$C280,Exceptions!$G$5:$G$104,"Accepted",Exceptions!$H$5:$H$104,"&lt;&gt;")&gt;0,"CLEARED",$K280)))</f>
        <v/>
      </c>
      <c r="M280" s="39">
        <f>IF($A280="","",IF($H280="","Declaration missing",IF($H280="Not Stated","Not stated in quotation",IF(AND(ISNUMBER($R280),$R280&lt;Baseline!$B$9),"Low AI confidence - verify",IF(AND($H280="Fully Compliant",$J280&lt;&gt;"GREEN"),"Declared Fully - evidence differs","")))))</f>
        <v/>
      </c>
      <c r="N280" s="58">
        <f>IF($A280="","",IFERROR(INDEX(Baseline!$D$20:$D$49,MATCH($C280,Baseline!$A$20:$A$49,0)),""))</f>
        <v/>
      </c>
      <c r="O280" s="58">
        <f>IF($A280="","",IFERROR(INDEX(Baseline!$F$20:$F$49,MATCH($C280,Baseline!$A$20:$A$49,0)),0))</f>
        <v/>
      </c>
      <c r="P280" s="58">
        <f>IF($A280="","",IFERROR(INDEX(Baseline!$G$20:$G$49,MATCH($C280,Baseline!$A$20:$A$49,0)),"RED"))</f>
        <v/>
      </c>
      <c r="Q280" s="58">
        <f>IF($A280="","",$A280&amp;"|"&amp;$B280&amp;"|"&amp;$C280)</f>
        <v/>
      </c>
      <c r="R280" s="59" t="n"/>
      <c r="S280" s="60" t="n"/>
    </row>
    <row r="281" ht="15" customHeight="1" s="34">
      <c r="A281" s="54" t="n"/>
      <c r="B281" s="54" t="n"/>
      <c r="C281" s="54" t="n"/>
      <c r="D281" s="55">
        <f>IF($A281="","",IFERROR(INDEX(Baseline!$B$20:$B$49,MATCH($C281,Baseline!$A$20:$A$49,0)),"Line not in baseline"))</f>
        <v/>
      </c>
      <c r="E281" s="55">
        <f>IF($A281="","",IFERROR(INDEX(Baseline!$C$20:$C$49,MATCH($C281,Baseline!$A$20:$A$49,0)),""))</f>
        <v/>
      </c>
      <c r="F281" s="56">
        <f>IF($A281="","",IFERROR(INDEX(Baseline!$E$20:$E$49,MATCH($C281,Baseline!$A$20:$A$49,0)),""))</f>
        <v/>
      </c>
      <c r="G281" s="57" t="n"/>
      <c r="H281" s="54" t="n"/>
      <c r="I281" s="54" t="n"/>
      <c r="J281" s="39">
        <f>IF($A281="","",IF($E281="Informational","GREEN",IF($G281="",IF($E281="Mandatory","RED","YELLOW"),IF($N281="Exact",IF(UPPER(TRIM($G281&amp;""))=UPPER(TRIM($F281&amp;"")),"GREEN",$P281),IF(NOT(ISNUMBER($G281)),$P281,IF($N281="Min",IF($G281&gt;=$F281,"GREEN",IF($G281&gt;=$F281-$O281,"YELLOW",$P281)),IF($N281="Max",IF($G281&lt;=$F281,"GREEN",IF($G281&lt;=$F281+$O281,"YELLOW",$P281)),IF($N281="Range",IF(ABS($G281-$F281)&lt;=$O281,"GREEN",$P281),"CHECK RULE"))))))))</f>
        <v/>
      </c>
      <c r="K281" s="39">
        <f>IF($A281="","",IF($H281="Non-Compliant","RED",IF(AND(OR($H281="Alternative Offer",$H281="Partially Compliant"),$J281="GREEN"),"YELLOW",IF(AND($J281="GREEN",ISNUMBER($R281),$R281&lt;Baseline!$B$9),"YELLOW",$J281))))</f>
        <v/>
      </c>
      <c r="L281" s="39">
        <f>IF($A281="","",IF($K281="GREEN","GREEN",IF(COUNTIFS(Exceptions!$B$5:$B$104,$A281,Exceptions!$C$5:$C$104,$B281,Exceptions!$D$5:$D$104,$C281,Exceptions!$G$5:$G$104,"Accepted",Exceptions!$H$5:$H$104,"&lt;&gt;")&gt;0,"CLEARED",$K281)))</f>
        <v/>
      </c>
      <c r="M281" s="39">
        <f>IF($A281="","",IF($H281="","Declaration missing",IF($H281="Not Stated","Not stated in quotation",IF(AND(ISNUMBER($R281),$R281&lt;Baseline!$B$9),"Low AI confidence - verify",IF(AND($H281="Fully Compliant",$J281&lt;&gt;"GREEN"),"Declared Fully - evidence differs","")))))</f>
        <v/>
      </c>
      <c r="N281" s="58">
        <f>IF($A281="","",IFERROR(INDEX(Baseline!$D$20:$D$49,MATCH($C281,Baseline!$A$20:$A$49,0)),""))</f>
        <v/>
      </c>
      <c r="O281" s="58">
        <f>IF($A281="","",IFERROR(INDEX(Baseline!$F$20:$F$49,MATCH($C281,Baseline!$A$20:$A$49,0)),0))</f>
        <v/>
      </c>
      <c r="P281" s="58">
        <f>IF($A281="","",IFERROR(INDEX(Baseline!$G$20:$G$49,MATCH($C281,Baseline!$A$20:$A$49,0)),"RED"))</f>
        <v/>
      </c>
      <c r="Q281" s="58">
        <f>IF($A281="","",$A281&amp;"|"&amp;$B281&amp;"|"&amp;$C281)</f>
        <v/>
      </c>
      <c r="R281" s="59" t="n"/>
      <c r="S281" s="60" t="n"/>
    </row>
    <row r="282" ht="15" customHeight="1" s="34">
      <c r="A282" s="54" t="n"/>
      <c r="B282" s="54" t="n"/>
      <c r="C282" s="54" t="n"/>
      <c r="D282" s="55">
        <f>IF($A282="","",IFERROR(INDEX(Baseline!$B$20:$B$49,MATCH($C282,Baseline!$A$20:$A$49,0)),"Line not in baseline"))</f>
        <v/>
      </c>
      <c r="E282" s="55">
        <f>IF($A282="","",IFERROR(INDEX(Baseline!$C$20:$C$49,MATCH($C282,Baseline!$A$20:$A$49,0)),""))</f>
        <v/>
      </c>
      <c r="F282" s="56">
        <f>IF($A282="","",IFERROR(INDEX(Baseline!$E$20:$E$49,MATCH($C282,Baseline!$A$20:$A$49,0)),""))</f>
        <v/>
      </c>
      <c r="G282" s="57" t="n"/>
      <c r="H282" s="54" t="n"/>
      <c r="I282" s="54" t="n"/>
      <c r="J282" s="39">
        <f>IF($A282="","",IF($E282="Informational","GREEN",IF($G282="",IF($E282="Mandatory","RED","YELLOW"),IF($N282="Exact",IF(UPPER(TRIM($G282&amp;""))=UPPER(TRIM($F282&amp;"")),"GREEN",$P282),IF(NOT(ISNUMBER($G282)),$P282,IF($N282="Min",IF($G282&gt;=$F282,"GREEN",IF($G282&gt;=$F282-$O282,"YELLOW",$P282)),IF($N282="Max",IF($G282&lt;=$F282,"GREEN",IF($G282&lt;=$F282+$O282,"YELLOW",$P282)),IF($N282="Range",IF(ABS($G282-$F282)&lt;=$O282,"GREEN",$P282),"CHECK RULE"))))))))</f>
        <v/>
      </c>
      <c r="K282" s="39">
        <f>IF($A282="","",IF($H282="Non-Compliant","RED",IF(AND(OR($H282="Alternative Offer",$H282="Partially Compliant"),$J282="GREEN"),"YELLOW",IF(AND($J282="GREEN",ISNUMBER($R282),$R282&lt;Baseline!$B$9),"YELLOW",$J282))))</f>
        <v/>
      </c>
      <c r="L282" s="39">
        <f>IF($A282="","",IF($K282="GREEN","GREEN",IF(COUNTIFS(Exceptions!$B$5:$B$104,$A282,Exceptions!$C$5:$C$104,$B282,Exceptions!$D$5:$D$104,$C282,Exceptions!$G$5:$G$104,"Accepted",Exceptions!$H$5:$H$104,"&lt;&gt;")&gt;0,"CLEARED",$K282)))</f>
        <v/>
      </c>
      <c r="M282" s="39">
        <f>IF($A282="","",IF($H282="","Declaration missing",IF($H282="Not Stated","Not stated in quotation",IF(AND(ISNUMBER($R282),$R282&lt;Baseline!$B$9),"Low AI confidence - verify",IF(AND($H282="Fully Compliant",$J282&lt;&gt;"GREEN"),"Declared Fully - evidence differs","")))))</f>
        <v/>
      </c>
      <c r="N282" s="58">
        <f>IF($A282="","",IFERROR(INDEX(Baseline!$D$20:$D$49,MATCH($C282,Baseline!$A$20:$A$49,0)),""))</f>
        <v/>
      </c>
      <c r="O282" s="58">
        <f>IF($A282="","",IFERROR(INDEX(Baseline!$F$20:$F$49,MATCH($C282,Baseline!$A$20:$A$49,0)),0))</f>
        <v/>
      </c>
      <c r="P282" s="58">
        <f>IF($A282="","",IFERROR(INDEX(Baseline!$G$20:$G$49,MATCH($C282,Baseline!$A$20:$A$49,0)),"RED"))</f>
        <v/>
      </c>
      <c r="Q282" s="58">
        <f>IF($A282="","",$A282&amp;"|"&amp;$B282&amp;"|"&amp;$C282)</f>
        <v/>
      </c>
      <c r="R282" s="59" t="n"/>
      <c r="S282" s="60" t="n"/>
    </row>
    <row r="283" ht="15" customHeight="1" s="34">
      <c r="A283" s="54" t="n"/>
      <c r="B283" s="54" t="n"/>
      <c r="C283" s="54" t="n"/>
      <c r="D283" s="55">
        <f>IF($A283="","",IFERROR(INDEX(Baseline!$B$20:$B$49,MATCH($C283,Baseline!$A$20:$A$49,0)),"Line not in baseline"))</f>
        <v/>
      </c>
      <c r="E283" s="55">
        <f>IF($A283="","",IFERROR(INDEX(Baseline!$C$20:$C$49,MATCH($C283,Baseline!$A$20:$A$49,0)),""))</f>
        <v/>
      </c>
      <c r="F283" s="56">
        <f>IF($A283="","",IFERROR(INDEX(Baseline!$E$20:$E$49,MATCH($C283,Baseline!$A$20:$A$49,0)),""))</f>
        <v/>
      </c>
      <c r="G283" s="57" t="n"/>
      <c r="H283" s="54" t="n"/>
      <c r="I283" s="54" t="n"/>
      <c r="J283" s="39">
        <f>IF($A283="","",IF($E283="Informational","GREEN",IF($G283="",IF($E283="Mandatory","RED","YELLOW"),IF($N283="Exact",IF(UPPER(TRIM($G283&amp;""))=UPPER(TRIM($F283&amp;"")),"GREEN",$P283),IF(NOT(ISNUMBER($G283)),$P283,IF($N283="Min",IF($G283&gt;=$F283,"GREEN",IF($G283&gt;=$F283-$O283,"YELLOW",$P283)),IF($N283="Max",IF($G283&lt;=$F283,"GREEN",IF($G283&lt;=$F283+$O283,"YELLOW",$P283)),IF($N283="Range",IF(ABS($G283-$F283)&lt;=$O283,"GREEN",$P283),"CHECK RULE"))))))))</f>
        <v/>
      </c>
      <c r="K283" s="39">
        <f>IF($A283="","",IF($H283="Non-Compliant","RED",IF(AND(OR($H283="Alternative Offer",$H283="Partially Compliant"),$J283="GREEN"),"YELLOW",IF(AND($J283="GREEN",ISNUMBER($R283),$R283&lt;Baseline!$B$9),"YELLOW",$J283))))</f>
        <v/>
      </c>
      <c r="L283" s="39">
        <f>IF($A283="","",IF($K283="GREEN","GREEN",IF(COUNTIFS(Exceptions!$B$5:$B$104,$A283,Exceptions!$C$5:$C$104,$B283,Exceptions!$D$5:$D$104,$C283,Exceptions!$G$5:$G$104,"Accepted",Exceptions!$H$5:$H$104,"&lt;&gt;")&gt;0,"CLEARED",$K283)))</f>
        <v/>
      </c>
      <c r="M283" s="39">
        <f>IF($A283="","",IF($H283="","Declaration missing",IF($H283="Not Stated","Not stated in quotation",IF(AND(ISNUMBER($R283),$R283&lt;Baseline!$B$9),"Low AI confidence - verify",IF(AND($H283="Fully Compliant",$J283&lt;&gt;"GREEN"),"Declared Fully - evidence differs","")))))</f>
        <v/>
      </c>
      <c r="N283" s="58">
        <f>IF($A283="","",IFERROR(INDEX(Baseline!$D$20:$D$49,MATCH($C283,Baseline!$A$20:$A$49,0)),""))</f>
        <v/>
      </c>
      <c r="O283" s="58">
        <f>IF($A283="","",IFERROR(INDEX(Baseline!$F$20:$F$49,MATCH($C283,Baseline!$A$20:$A$49,0)),0))</f>
        <v/>
      </c>
      <c r="P283" s="58">
        <f>IF($A283="","",IFERROR(INDEX(Baseline!$G$20:$G$49,MATCH($C283,Baseline!$A$20:$A$49,0)),"RED"))</f>
        <v/>
      </c>
      <c r="Q283" s="58">
        <f>IF($A283="","",$A283&amp;"|"&amp;$B283&amp;"|"&amp;$C283)</f>
        <v/>
      </c>
      <c r="R283" s="59" t="n"/>
      <c r="S283" s="60" t="n"/>
    </row>
    <row r="284" ht="15" customHeight="1" s="34">
      <c r="A284" s="54" t="n"/>
      <c r="B284" s="54" t="n"/>
      <c r="C284" s="54" t="n"/>
      <c r="D284" s="55">
        <f>IF($A284="","",IFERROR(INDEX(Baseline!$B$20:$B$49,MATCH($C284,Baseline!$A$20:$A$49,0)),"Line not in baseline"))</f>
        <v/>
      </c>
      <c r="E284" s="55">
        <f>IF($A284="","",IFERROR(INDEX(Baseline!$C$20:$C$49,MATCH($C284,Baseline!$A$20:$A$49,0)),""))</f>
        <v/>
      </c>
      <c r="F284" s="56">
        <f>IF($A284="","",IFERROR(INDEX(Baseline!$E$20:$E$49,MATCH($C284,Baseline!$A$20:$A$49,0)),""))</f>
        <v/>
      </c>
      <c r="G284" s="57" t="n"/>
      <c r="H284" s="54" t="n"/>
      <c r="I284" s="54" t="n"/>
      <c r="J284" s="39">
        <f>IF($A284="","",IF($E284="Informational","GREEN",IF($G284="",IF($E284="Mandatory","RED","YELLOW"),IF($N284="Exact",IF(UPPER(TRIM($G284&amp;""))=UPPER(TRIM($F284&amp;"")),"GREEN",$P284),IF(NOT(ISNUMBER($G284)),$P284,IF($N284="Min",IF($G284&gt;=$F284,"GREEN",IF($G284&gt;=$F284-$O284,"YELLOW",$P284)),IF($N284="Max",IF($G284&lt;=$F284,"GREEN",IF($G284&lt;=$F284+$O284,"YELLOW",$P284)),IF($N284="Range",IF(ABS($G284-$F284)&lt;=$O284,"GREEN",$P284),"CHECK RULE"))))))))</f>
        <v/>
      </c>
      <c r="K284" s="39">
        <f>IF($A284="","",IF($H284="Non-Compliant","RED",IF(AND(OR($H284="Alternative Offer",$H284="Partially Compliant"),$J284="GREEN"),"YELLOW",IF(AND($J284="GREEN",ISNUMBER($R284),$R284&lt;Baseline!$B$9),"YELLOW",$J284))))</f>
        <v/>
      </c>
      <c r="L284" s="39">
        <f>IF($A284="","",IF($K284="GREEN","GREEN",IF(COUNTIFS(Exceptions!$B$5:$B$104,$A284,Exceptions!$C$5:$C$104,$B284,Exceptions!$D$5:$D$104,$C284,Exceptions!$G$5:$G$104,"Accepted",Exceptions!$H$5:$H$104,"&lt;&gt;")&gt;0,"CLEARED",$K284)))</f>
        <v/>
      </c>
      <c r="M284" s="39">
        <f>IF($A284="","",IF($H284="","Declaration missing",IF($H284="Not Stated","Not stated in quotation",IF(AND(ISNUMBER($R284),$R284&lt;Baseline!$B$9),"Low AI confidence - verify",IF(AND($H284="Fully Compliant",$J284&lt;&gt;"GREEN"),"Declared Fully - evidence differs","")))))</f>
        <v/>
      </c>
      <c r="N284" s="58">
        <f>IF($A284="","",IFERROR(INDEX(Baseline!$D$20:$D$49,MATCH($C284,Baseline!$A$20:$A$49,0)),""))</f>
        <v/>
      </c>
      <c r="O284" s="58">
        <f>IF($A284="","",IFERROR(INDEX(Baseline!$F$20:$F$49,MATCH($C284,Baseline!$A$20:$A$49,0)),0))</f>
        <v/>
      </c>
      <c r="P284" s="58">
        <f>IF($A284="","",IFERROR(INDEX(Baseline!$G$20:$G$49,MATCH($C284,Baseline!$A$20:$A$49,0)),"RED"))</f>
        <v/>
      </c>
      <c r="Q284" s="58">
        <f>IF($A284="","",$A284&amp;"|"&amp;$B284&amp;"|"&amp;$C284)</f>
        <v/>
      </c>
      <c r="R284" s="59" t="n"/>
      <c r="S284" s="60" t="n"/>
    </row>
    <row r="285" ht="15" customHeight="1" s="34">
      <c r="A285" s="54" t="n"/>
      <c r="B285" s="54" t="n"/>
      <c r="C285" s="54" t="n"/>
      <c r="D285" s="55">
        <f>IF($A285="","",IFERROR(INDEX(Baseline!$B$20:$B$49,MATCH($C285,Baseline!$A$20:$A$49,0)),"Line not in baseline"))</f>
        <v/>
      </c>
      <c r="E285" s="55">
        <f>IF($A285="","",IFERROR(INDEX(Baseline!$C$20:$C$49,MATCH($C285,Baseline!$A$20:$A$49,0)),""))</f>
        <v/>
      </c>
      <c r="F285" s="56">
        <f>IF($A285="","",IFERROR(INDEX(Baseline!$E$20:$E$49,MATCH($C285,Baseline!$A$20:$A$49,0)),""))</f>
        <v/>
      </c>
      <c r="G285" s="57" t="n"/>
      <c r="H285" s="54" t="n"/>
      <c r="I285" s="54" t="n"/>
      <c r="J285" s="39">
        <f>IF($A285="","",IF($E285="Informational","GREEN",IF($G285="",IF($E285="Mandatory","RED","YELLOW"),IF($N285="Exact",IF(UPPER(TRIM($G285&amp;""))=UPPER(TRIM($F285&amp;"")),"GREEN",$P285),IF(NOT(ISNUMBER($G285)),$P285,IF($N285="Min",IF($G285&gt;=$F285,"GREEN",IF($G285&gt;=$F285-$O285,"YELLOW",$P285)),IF($N285="Max",IF($G285&lt;=$F285,"GREEN",IF($G285&lt;=$F285+$O285,"YELLOW",$P285)),IF($N285="Range",IF(ABS($G285-$F285)&lt;=$O285,"GREEN",$P285),"CHECK RULE"))))))))</f>
        <v/>
      </c>
      <c r="K285" s="39">
        <f>IF($A285="","",IF($H285="Non-Compliant","RED",IF(AND(OR($H285="Alternative Offer",$H285="Partially Compliant"),$J285="GREEN"),"YELLOW",IF(AND($J285="GREEN",ISNUMBER($R285),$R285&lt;Baseline!$B$9),"YELLOW",$J285))))</f>
        <v/>
      </c>
      <c r="L285" s="39">
        <f>IF($A285="","",IF($K285="GREEN","GREEN",IF(COUNTIFS(Exceptions!$B$5:$B$104,$A285,Exceptions!$C$5:$C$104,$B285,Exceptions!$D$5:$D$104,$C285,Exceptions!$G$5:$G$104,"Accepted",Exceptions!$H$5:$H$104,"&lt;&gt;")&gt;0,"CLEARED",$K285)))</f>
        <v/>
      </c>
      <c r="M285" s="39">
        <f>IF($A285="","",IF($H285="","Declaration missing",IF($H285="Not Stated","Not stated in quotation",IF(AND(ISNUMBER($R285),$R285&lt;Baseline!$B$9),"Low AI confidence - verify",IF(AND($H285="Fully Compliant",$J285&lt;&gt;"GREEN"),"Declared Fully - evidence differs","")))))</f>
        <v/>
      </c>
      <c r="N285" s="58">
        <f>IF($A285="","",IFERROR(INDEX(Baseline!$D$20:$D$49,MATCH($C285,Baseline!$A$20:$A$49,0)),""))</f>
        <v/>
      </c>
      <c r="O285" s="58">
        <f>IF($A285="","",IFERROR(INDEX(Baseline!$F$20:$F$49,MATCH($C285,Baseline!$A$20:$A$49,0)),0))</f>
        <v/>
      </c>
      <c r="P285" s="58">
        <f>IF($A285="","",IFERROR(INDEX(Baseline!$G$20:$G$49,MATCH($C285,Baseline!$A$20:$A$49,0)),"RED"))</f>
        <v/>
      </c>
      <c r="Q285" s="58">
        <f>IF($A285="","",$A285&amp;"|"&amp;$B285&amp;"|"&amp;$C285)</f>
        <v/>
      </c>
      <c r="R285" s="59" t="n"/>
      <c r="S285" s="60" t="n"/>
    </row>
    <row r="286" ht="15" customHeight="1" s="34">
      <c r="A286" s="54" t="n"/>
      <c r="B286" s="54" t="n"/>
      <c r="C286" s="54" t="n"/>
      <c r="D286" s="55">
        <f>IF($A286="","",IFERROR(INDEX(Baseline!$B$20:$B$49,MATCH($C286,Baseline!$A$20:$A$49,0)),"Line not in baseline"))</f>
        <v/>
      </c>
      <c r="E286" s="55">
        <f>IF($A286="","",IFERROR(INDEX(Baseline!$C$20:$C$49,MATCH($C286,Baseline!$A$20:$A$49,0)),""))</f>
        <v/>
      </c>
      <c r="F286" s="56">
        <f>IF($A286="","",IFERROR(INDEX(Baseline!$E$20:$E$49,MATCH($C286,Baseline!$A$20:$A$49,0)),""))</f>
        <v/>
      </c>
      <c r="G286" s="57" t="n"/>
      <c r="H286" s="54" t="n"/>
      <c r="I286" s="54" t="n"/>
      <c r="J286" s="39">
        <f>IF($A286="","",IF($E286="Informational","GREEN",IF($G286="",IF($E286="Mandatory","RED","YELLOW"),IF($N286="Exact",IF(UPPER(TRIM($G286&amp;""))=UPPER(TRIM($F286&amp;"")),"GREEN",$P286),IF(NOT(ISNUMBER($G286)),$P286,IF($N286="Min",IF($G286&gt;=$F286,"GREEN",IF($G286&gt;=$F286-$O286,"YELLOW",$P286)),IF($N286="Max",IF($G286&lt;=$F286,"GREEN",IF($G286&lt;=$F286+$O286,"YELLOW",$P286)),IF($N286="Range",IF(ABS($G286-$F286)&lt;=$O286,"GREEN",$P286),"CHECK RULE"))))))))</f>
        <v/>
      </c>
      <c r="K286" s="39">
        <f>IF($A286="","",IF($H286="Non-Compliant","RED",IF(AND(OR($H286="Alternative Offer",$H286="Partially Compliant"),$J286="GREEN"),"YELLOW",IF(AND($J286="GREEN",ISNUMBER($R286),$R286&lt;Baseline!$B$9),"YELLOW",$J286))))</f>
        <v/>
      </c>
      <c r="L286" s="39">
        <f>IF($A286="","",IF($K286="GREEN","GREEN",IF(COUNTIFS(Exceptions!$B$5:$B$104,$A286,Exceptions!$C$5:$C$104,$B286,Exceptions!$D$5:$D$104,$C286,Exceptions!$G$5:$G$104,"Accepted",Exceptions!$H$5:$H$104,"&lt;&gt;")&gt;0,"CLEARED",$K286)))</f>
        <v/>
      </c>
      <c r="M286" s="39">
        <f>IF($A286="","",IF($H286="","Declaration missing",IF($H286="Not Stated","Not stated in quotation",IF(AND(ISNUMBER($R286),$R286&lt;Baseline!$B$9),"Low AI confidence - verify",IF(AND($H286="Fully Compliant",$J286&lt;&gt;"GREEN"),"Declared Fully - evidence differs","")))))</f>
        <v/>
      </c>
      <c r="N286" s="58">
        <f>IF($A286="","",IFERROR(INDEX(Baseline!$D$20:$D$49,MATCH($C286,Baseline!$A$20:$A$49,0)),""))</f>
        <v/>
      </c>
      <c r="O286" s="58">
        <f>IF($A286="","",IFERROR(INDEX(Baseline!$F$20:$F$49,MATCH($C286,Baseline!$A$20:$A$49,0)),0))</f>
        <v/>
      </c>
      <c r="P286" s="58">
        <f>IF($A286="","",IFERROR(INDEX(Baseline!$G$20:$G$49,MATCH($C286,Baseline!$A$20:$A$49,0)),"RED"))</f>
        <v/>
      </c>
      <c r="Q286" s="58">
        <f>IF($A286="","",$A286&amp;"|"&amp;$B286&amp;"|"&amp;$C286)</f>
        <v/>
      </c>
      <c r="R286" s="59" t="n"/>
      <c r="S286" s="60" t="n"/>
    </row>
    <row r="287" ht="15" customHeight="1" s="34">
      <c r="A287" s="54" t="n"/>
      <c r="B287" s="54" t="n"/>
      <c r="C287" s="54" t="n"/>
      <c r="D287" s="55">
        <f>IF($A287="","",IFERROR(INDEX(Baseline!$B$20:$B$49,MATCH($C287,Baseline!$A$20:$A$49,0)),"Line not in baseline"))</f>
        <v/>
      </c>
      <c r="E287" s="55">
        <f>IF($A287="","",IFERROR(INDEX(Baseline!$C$20:$C$49,MATCH($C287,Baseline!$A$20:$A$49,0)),""))</f>
        <v/>
      </c>
      <c r="F287" s="56">
        <f>IF($A287="","",IFERROR(INDEX(Baseline!$E$20:$E$49,MATCH($C287,Baseline!$A$20:$A$49,0)),""))</f>
        <v/>
      </c>
      <c r="G287" s="57" t="n"/>
      <c r="H287" s="54" t="n"/>
      <c r="I287" s="54" t="n"/>
      <c r="J287" s="39">
        <f>IF($A287="","",IF($E287="Informational","GREEN",IF($G287="",IF($E287="Mandatory","RED","YELLOW"),IF($N287="Exact",IF(UPPER(TRIM($G287&amp;""))=UPPER(TRIM($F287&amp;"")),"GREEN",$P287),IF(NOT(ISNUMBER($G287)),$P287,IF($N287="Min",IF($G287&gt;=$F287,"GREEN",IF($G287&gt;=$F287-$O287,"YELLOW",$P287)),IF($N287="Max",IF($G287&lt;=$F287,"GREEN",IF($G287&lt;=$F287+$O287,"YELLOW",$P287)),IF($N287="Range",IF(ABS($G287-$F287)&lt;=$O287,"GREEN",$P287),"CHECK RULE"))))))))</f>
        <v/>
      </c>
      <c r="K287" s="39">
        <f>IF($A287="","",IF($H287="Non-Compliant","RED",IF(AND(OR($H287="Alternative Offer",$H287="Partially Compliant"),$J287="GREEN"),"YELLOW",IF(AND($J287="GREEN",ISNUMBER($R287),$R287&lt;Baseline!$B$9),"YELLOW",$J287))))</f>
        <v/>
      </c>
      <c r="L287" s="39">
        <f>IF($A287="","",IF($K287="GREEN","GREEN",IF(COUNTIFS(Exceptions!$B$5:$B$104,$A287,Exceptions!$C$5:$C$104,$B287,Exceptions!$D$5:$D$104,$C287,Exceptions!$G$5:$G$104,"Accepted",Exceptions!$H$5:$H$104,"&lt;&gt;")&gt;0,"CLEARED",$K287)))</f>
        <v/>
      </c>
      <c r="M287" s="39">
        <f>IF($A287="","",IF($H287="","Declaration missing",IF($H287="Not Stated","Not stated in quotation",IF(AND(ISNUMBER($R287),$R287&lt;Baseline!$B$9),"Low AI confidence - verify",IF(AND($H287="Fully Compliant",$J287&lt;&gt;"GREEN"),"Declared Fully - evidence differs","")))))</f>
        <v/>
      </c>
      <c r="N287" s="58">
        <f>IF($A287="","",IFERROR(INDEX(Baseline!$D$20:$D$49,MATCH($C287,Baseline!$A$20:$A$49,0)),""))</f>
        <v/>
      </c>
      <c r="O287" s="58">
        <f>IF($A287="","",IFERROR(INDEX(Baseline!$F$20:$F$49,MATCH($C287,Baseline!$A$20:$A$49,0)),0))</f>
        <v/>
      </c>
      <c r="P287" s="58">
        <f>IF($A287="","",IFERROR(INDEX(Baseline!$G$20:$G$49,MATCH($C287,Baseline!$A$20:$A$49,0)),"RED"))</f>
        <v/>
      </c>
      <c r="Q287" s="58">
        <f>IF($A287="","",$A287&amp;"|"&amp;$B287&amp;"|"&amp;$C287)</f>
        <v/>
      </c>
      <c r="R287" s="59" t="n"/>
      <c r="S287" s="60" t="n"/>
    </row>
    <row r="288" ht="15" customHeight="1" s="34">
      <c r="A288" s="54" t="n"/>
      <c r="B288" s="54" t="n"/>
      <c r="C288" s="54" t="n"/>
      <c r="D288" s="55">
        <f>IF($A288="","",IFERROR(INDEX(Baseline!$B$20:$B$49,MATCH($C288,Baseline!$A$20:$A$49,0)),"Line not in baseline"))</f>
        <v/>
      </c>
      <c r="E288" s="55">
        <f>IF($A288="","",IFERROR(INDEX(Baseline!$C$20:$C$49,MATCH($C288,Baseline!$A$20:$A$49,0)),""))</f>
        <v/>
      </c>
      <c r="F288" s="56">
        <f>IF($A288="","",IFERROR(INDEX(Baseline!$E$20:$E$49,MATCH($C288,Baseline!$A$20:$A$49,0)),""))</f>
        <v/>
      </c>
      <c r="G288" s="57" t="n"/>
      <c r="H288" s="54" t="n"/>
      <c r="I288" s="54" t="n"/>
      <c r="J288" s="39">
        <f>IF($A288="","",IF($E288="Informational","GREEN",IF($G288="",IF($E288="Mandatory","RED","YELLOW"),IF($N288="Exact",IF(UPPER(TRIM($G288&amp;""))=UPPER(TRIM($F288&amp;"")),"GREEN",$P288),IF(NOT(ISNUMBER($G288)),$P288,IF($N288="Min",IF($G288&gt;=$F288,"GREEN",IF($G288&gt;=$F288-$O288,"YELLOW",$P288)),IF($N288="Max",IF($G288&lt;=$F288,"GREEN",IF($G288&lt;=$F288+$O288,"YELLOW",$P288)),IF($N288="Range",IF(ABS($G288-$F288)&lt;=$O288,"GREEN",$P288),"CHECK RULE"))))))))</f>
        <v/>
      </c>
      <c r="K288" s="39">
        <f>IF($A288="","",IF($H288="Non-Compliant","RED",IF(AND(OR($H288="Alternative Offer",$H288="Partially Compliant"),$J288="GREEN"),"YELLOW",IF(AND($J288="GREEN",ISNUMBER($R288),$R288&lt;Baseline!$B$9),"YELLOW",$J288))))</f>
        <v/>
      </c>
      <c r="L288" s="39">
        <f>IF($A288="","",IF($K288="GREEN","GREEN",IF(COUNTIFS(Exceptions!$B$5:$B$104,$A288,Exceptions!$C$5:$C$104,$B288,Exceptions!$D$5:$D$104,$C288,Exceptions!$G$5:$G$104,"Accepted",Exceptions!$H$5:$H$104,"&lt;&gt;")&gt;0,"CLEARED",$K288)))</f>
        <v/>
      </c>
      <c r="M288" s="39">
        <f>IF($A288="","",IF($H288="","Declaration missing",IF($H288="Not Stated","Not stated in quotation",IF(AND(ISNUMBER($R288),$R288&lt;Baseline!$B$9),"Low AI confidence - verify",IF(AND($H288="Fully Compliant",$J288&lt;&gt;"GREEN"),"Declared Fully - evidence differs","")))))</f>
        <v/>
      </c>
      <c r="N288" s="58">
        <f>IF($A288="","",IFERROR(INDEX(Baseline!$D$20:$D$49,MATCH($C288,Baseline!$A$20:$A$49,0)),""))</f>
        <v/>
      </c>
      <c r="O288" s="58">
        <f>IF($A288="","",IFERROR(INDEX(Baseline!$F$20:$F$49,MATCH($C288,Baseline!$A$20:$A$49,0)),0))</f>
        <v/>
      </c>
      <c r="P288" s="58">
        <f>IF($A288="","",IFERROR(INDEX(Baseline!$G$20:$G$49,MATCH($C288,Baseline!$A$20:$A$49,0)),"RED"))</f>
        <v/>
      </c>
      <c r="Q288" s="58">
        <f>IF($A288="","",$A288&amp;"|"&amp;$B288&amp;"|"&amp;$C288)</f>
        <v/>
      </c>
      <c r="R288" s="59" t="n"/>
      <c r="S288" s="60" t="n"/>
    </row>
    <row r="289" ht="15" customHeight="1" s="34">
      <c r="A289" s="54" t="n"/>
      <c r="B289" s="54" t="n"/>
      <c r="C289" s="54" t="n"/>
      <c r="D289" s="55">
        <f>IF($A289="","",IFERROR(INDEX(Baseline!$B$20:$B$49,MATCH($C289,Baseline!$A$20:$A$49,0)),"Line not in baseline"))</f>
        <v/>
      </c>
      <c r="E289" s="55">
        <f>IF($A289="","",IFERROR(INDEX(Baseline!$C$20:$C$49,MATCH($C289,Baseline!$A$20:$A$49,0)),""))</f>
        <v/>
      </c>
      <c r="F289" s="56">
        <f>IF($A289="","",IFERROR(INDEX(Baseline!$E$20:$E$49,MATCH($C289,Baseline!$A$20:$A$49,0)),""))</f>
        <v/>
      </c>
      <c r="G289" s="57" t="n"/>
      <c r="H289" s="54" t="n"/>
      <c r="I289" s="54" t="n"/>
      <c r="J289" s="39">
        <f>IF($A289="","",IF($E289="Informational","GREEN",IF($G289="",IF($E289="Mandatory","RED","YELLOW"),IF($N289="Exact",IF(UPPER(TRIM($G289&amp;""))=UPPER(TRIM($F289&amp;"")),"GREEN",$P289),IF(NOT(ISNUMBER($G289)),$P289,IF($N289="Min",IF($G289&gt;=$F289,"GREEN",IF($G289&gt;=$F289-$O289,"YELLOW",$P289)),IF($N289="Max",IF($G289&lt;=$F289,"GREEN",IF($G289&lt;=$F289+$O289,"YELLOW",$P289)),IF($N289="Range",IF(ABS($G289-$F289)&lt;=$O289,"GREEN",$P289),"CHECK RULE"))))))))</f>
        <v/>
      </c>
      <c r="K289" s="39">
        <f>IF($A289="","",IF($H289="Non-Compliant","RED",IF(AND(OR($H289="Alternative Offer",$H289="Partially Compliant"),$J289="GREEN"),"YELLOW",IF(AND($J289="GREEN",ISNUMBER($R289),$R289&lt;Baseline!$B$9),"YELLOW",$J289))))</f>
        <v/>
      </c>
      <c r="L289" s="39">
        <f>IF($A289="","",IF($K289="GREEN","GREEN",IF(COUNTIFS(Exceptions!$B$5:$B$104,$A289,Exceptions!$C$5:$C$104,$B289,Exceptions!$D$5:$D$104,$C289,Exceptions!$G$5:$G$104,"Accepted",Exceptions!$H$5:$H$104,"&lt;&gt;")&gt;0,"CLEARED",$K289)))</f>
        <v/>
      </c>
      <c r="M289" s="39">
        <f>IF($A289="","",IF($H289="","Declaration missing",IF($H289="Not Stated","Not stated in quotation",IF(AND(ISNUMBER($R289),$R289&lt;Baseline!$B$9),"Low AI confidence - verify",IF(AND($H289="Fully Compliant",$J289&lt;&gt;"GREEN"),"Declared Fully - evidence differs","")))))</f>
        <v/>
      </c>
      <c r="N289" s="58">
        <f>IF($A289="","",IFERROR(INDEX(Baseline!$D$20:$D$49,MATCH($C289,Baseline!$A$20:$A$49,0)),""))</f>
        <v/>
      </c>
      <c r="O289" s="58">
        <f>IF($A289="","",IFERROR(INDEX(Baseline!$F$20:$F$49,MATCH($C289,Baseline!$A$20:$A$49,0)),0))</f>
        <v/>
      </c>
      <c r="P289" s="58">
        <f>IF($A289="","",IFERROR(INDEX(Baseline!$G$20:$G$49,MATCH($C289,Baseline!$A$20:$A$49,0)),"RED"))</f>
        <v/>
      </c>
      <c r="Q289" s="58">
        <f>IF($A289="","",$A289&amp;"|"&amp;$B289&amp;"|"&amp;$C289)</f>
        <v/>
      </c>
      <c r="R289" s="59" t="n"/>
      <c r="S289" s="60" t="n"/>
    </row>
    <row r="290" ht="15" customHeight="1" s="34">
      <c r="A290" s="54" t="n"/>
      <c r="B290" s="54" t="n"/>
      <c r="C290" s="54" t="n"/>
      <c r="D290" s="55">
        <f>IF($A290="","",IFERROR(INDEX(Baseline!$B$20:$B$49,MATCH($C290,Baseline!$A$20:$A$49,0)),"Line not in baseline"))</f>
        <v/>
      </c>
      <c r="E290" s="55">
        <f>IF($A290="","",IFERROR(INDEX(Baseline!$C$20:$C$49,MATCH($C290,Baseline!$A$20:$A$49,0)),""))</f>
        <v/>
      </c>
      <c r="F290" s="56">
        <f>IF($A290="","",IFERROR(INDEX(Baseline!$E$20:$E$49,MATCH($C290,Baseline!$A$20:$A$49,0)),""))</f>
        <v/>
      </c>
      <c r="G290" s="57" t="n"/>
      <c r="H290" s="54" t="n"/>
      <c r="I290" s="54" t="n"/>
      <c r="J290" s="39">
        <f>IF($A290="","",IF($E290="Informational","GREEN",IF($G290="",IF($E290="Mandatory","RED","YELLOW"),IF($N290="Exact",IF(UPPER(TRIM($G290&amp;""))=UPPER(TRIM($F290&amp;"")),"GREEN",$P290),IF(NOT(ISNUMBER($G290)),$P290,IF($N290="Min",IF($G290&gt;=$F290,"GREEN",IF($G290&gt;=$F290-$O290,"YELLOW",$P290)),IF($N290="Max",IF($G290&lt;=$F290,"GREEN",IF($G290&lt;=$F290+$O290,"YELLOW",$P290)),IF($N290="Range",IF(ABS($G290-$F290)&lt;=$O290,"GREEN",$P290),"CHECK RULE"))))))))</f>
        <v/>
      </c>
      <c r="K290" s="39">
        <f>IF($A290="","",IF($H290="Non-Compliant","RED",IF(AND(OR($H290="Alternative Offer",$H290="Partially Compliant"),$J290="GREEN"),"YELLOW",IF(AND($J290="GREEN",ISNUMBER($R290),$R290&lt;Baseline!$B$9),"YELLOW",$J290))))</f>
        <v/>
      </c>
      <c r="L290" s="39">
        <f>IF($A290="","",IF($K290="GREEN","GREEN",IF(COUNTIFS(Exceptions!$B$5:$B$104,$A290,Exceptions!$C$5:$C$104,$B290,Exceptions!$D$5:$D$104,$C290,Exceptions!$G$5:$G$104,"Accepted",Exceptions!$H$5:$H$104,"&lt;&gt;")&gt;0,"CLEARED",$K290)))</f>
        <v/>
      </c>
      <c r="M290" s="39">
        <f>IF($A290="","",IF($H290="","Declaration missing",IF($H290="Not Stated","Not stated in quotation",IF(AND(ISNUMBER($R290),$R290&lt;Baseline!$B$9),"Low AI confidence - verify",IF(AND($H290="Fully Compliant",$J290&lt;&gt;"GREEN"),"Declared Fully - evidence differs","")))))</f>
        <v/>
      </c>
      <c r="N290" s="58">
        <f>IF($A290="","",IFERROR(INDEX(Baseline!$D$20:$D$49,MATCH($C290,Baseline!$A$20:$A$49,0)),""))</f>
        <v/>
      </c>
      <c r="O290" s="58">
        <f>IF($A290="","",IFERROR(INDEX(Baseline!$F$20:$F$49,MATCH($C290,Baseline!$A$20:$A$49,0)),0))</f>
        <v/>
      </c>
      <c r="P290" s="58">
        <f>IF($A290="","",IFERROR(INDEX(Baseline!$G$20:$G$49,MATCH($C290,Baseline!$A$20:$A$49,0)),"RED"))</f>
        <v/>
      </c>
      <c r="Q290" s="58">
        <f>IF($A290="","",$A290&amp;"|"&amp;$B290&amp;"|"&amp;$C290)</f>
        <v/>
      </c>
      <c r="R290" s="59" t="n"/>
      <c r="S290" s="60" t="n"/>
    </row>
    <row r="291" ht="15" customHeight="1" s="34">
      <c r="A291" s="54" t="n"/>
      <c r="B291" s="54" t="n"/>
      <c r="C291" s="54" t="n"/>
      <c r="D291" s="55">
        <f>IF($A291="","",IFERROR(INDEX(Baseline!$B$20:$B$49,MATCH($C291,Baseline!$A$20:$A$49,0)),"Line not in baseline"))</f>
        <v/>
      </c>
      <c r="E291" s="55">
        <f>IF($A291="","",IFERROR(INDEX(Baseline!$C$20:$C$49,MATCH($C291,Baseline!$A$20:$A$49,0)),""))</f>
        <v/>
      </c>
      <c r="F291" s="56">
        <f>IF($A291="","",IFERROR(INDEX(Baseline!$E$20:$E$49,MATCH($C291,Baseline!$A$20:$A$49,0)),""))</f>
        <v/>
      </c>
      <c r="G291" s="57" t="n"/>
      <c r="H291" s="54" t="n"/>
      <c r="I291" s="54" t="n"/>
      <c r="J291" s="39">
        <f>IF($A291="","",IF($E291="Informational","GREEN",IF($G291="",IF($E291="Mandatory","RED","YELLOW"),IF($N291="Exact",IF(UPPER(TRIM($G291&amp;""))=UPPER(TRIM($F291&amp;"")),"GREEN",$P291),IF(NOT(ISNUMBER($G291)),$P291,IF($N291="Min",IF($G291&gt;=$F291,"GREEN",IF($G291&gt;=$F291-$O291,"YELLOW",$P291)),IF($N291="Max",IF($G291&lt;=$F291,"GREEN",IF($G291&lt;=$F291+$O291,"YELLOW",$P291)),IF($N291="Range",IF(ABS($G291-$F291)&lt;=$O291,"GREEN",$P291),"CHECK RULE"))))))))</f>
        <v/>
      </c>
      <c r="K291" s="39">
        <f>IF($A291="","",IF($H291="Non-Compliant","RED",IF(AND(OR($H291="Alternative Offer",$H291="Partially Compliant"),$J291="GREEN"),"YELLOW",IF(AND($J291="GREEN",ISNUMBER($R291),$R291&lt;Baseline!$B$9),"YELLOW",$J291))))</f>
        <v/>
      </c>
      <c r="L291" s="39">
        <f>IF($A291="","",IF($K291="GREEN","GREEN",IF(COUNTIFS(Exceptions!$B$5:$B$104,$A291,Exceptions!$C$5:$C$104,$B291,Exceptions!$D$5:$D$104,$C291,Exceptions!$G$5:$G$104,"Accepted",Exceptions!$H$5:$H$104,"&lt;&gt;")&gt;0,"CLEARED",$K291)))</f>
        <v/>
      </c>
      <c r="M291" s="39">
        <f>IF($A291="","",IF($H291="","Declaration missing",IF($H291="Not Stated","Not stated in quotation",IF(AND(ISNUMBER($R291),$R291&lt;Baseline!$B$9),"Low AI confidence - verify",IF(AND($H291="Fully Compliant",$J291&lt;&gt;"GREEN"),"Declared Fully - evidence differs","")))))</f>
        <v/>
      </c>
      <c r="N291" s="58">
        <f>IF($A291="","",IFERROR(INDEX(Baseline!$D$20:$D$49,MATCH($C291,Baseline!$A$20:$A$49,0)),""))</f>
        <v/>
      </c>
      <c r="O291" s="58">
        <f>IF($A291="","",IFERROR(INDEX(Baseline!$F$20:$F$49,MATCH($C291,Baseline!$A$20:$A$49,0)),0))</f>
        <v/>
      </c>
      <c r="P291" s="58">
        <f>IF($A291="","",IFERROR(INDEX(Baseline!$G$20:$G$49,MATCH($C291,Baseline!$A$20:$A$49,0)),"RED"))</f>
        <v/>
      </c>
      <c r="Q291" s="58">
        <f>IF($A291="","",$A291&amp;"|"&amp;$B291&amp;"|"&amp;$C291)</f>
        <v/>
      </c>
      <c r="R291" s="59" t="n"/>
      <c r="S291" s="60" t="n"/>
    </row>
    <row r="292" ht="15" customHeight="1" s="34">
      <c r="A292" s="54" t="n"/>
      <c r="B292" s="54" t="n"/>
      <c r="C292" s="54" t="n"/>
      <c r="D292" s="55">
        <f>IF($A292="","",IFERROR(INDEX(Baseline!$B$20:$B$49,MATCH($C292,Baseline!$A$20:$A$49,0)),"Line not in baseline"))</f>
        <v/>
      </c>
      <c r="E292" s="55">
        <f>IF($A292="","",IFERROR(INDEX(Baseline!$C$20:$C$49,MATCH($C292,Baseline!$A$20:$A$49,0)),""))</f>
        <v/>
      </c>
      <c r="F292" s="56">
        <f>IF($A292="","",IFERROR(INDEX(Baseline!$E$20:$E$49,MATCH($C292,Baseline!$A$20:$A$49,0)),""))</f>
        <v/>
      </c>
      <c r="G292" s="57" t="n"/>
      <c r="H292" s="54" t="n"/>
      <c r="I292" s="54" t="n"/>
      <c r="J292" s="39">
        <f>IF($A292="","",IF($E292="Informational","GREEN",IF($G292="",IF($E292="Mandatory","RED","YELLOW"),IF($N292="Exact",IF(UPPER(TRIM($G292&amp;""))=UPPER(TRIM($F292&amp;"")),"GREEN",$P292),IF(NOT(ISNUMBER($G292)),$P292,IF($N292="Min",IF($G292&gt;=$F292,"GREEN",IF($G292&gt;=$F292-$O292,"YELLOW",$P292)),IF($N292="Max",IF($G292&lt;=$F292,"GREEN",IF($G292&lt;=$F292+$O292,"YELLOW",$P292)),IF($N292="Range",IF(ABS($G292-$F292)&lt;=$O292,"GREEN",$P292),"CHECK RULE"))))))))</f>
        <v/>
      </c>
      <c r="K292" s="39">
        <f>IF($A292="","",IF($H292="Non-Compliant","RED",IF(AND(OR($H292="Alternative Offer",$H292="Partially Compliant"),$J292="GREEN"),"YELLOW",IF(AND($J292="GREEN",ISNUMBER($R292),$R292&lt;Baseline!$B$9),"YELLOW",$J292))))</f>
        <v/>
      </c>
      <c r="L292" s="39">
        <f>IF($A292="","",IF($K292="GREEN","GREEN",IF(COUNTIFS(Exceptions!$B$5:$B$104,$A292,Exceptions!$C$5:$C$104,$B292,Exceptions!$D$5:$D$104,$C292,Exceptions!$G$5:$G$104,"Accepted",Exceptions!$H$5:$H$104,"&lt;&gt;")&gt;0,"CLEARED",$K292)))</f>
        <v/>
      </c>
      <c r="M292" s="39">
        <f>IF($A292="","",IF($H292="","Declaration missing",IF($H292="Not Stated","Not stated in quotation",IF(AND(ISNUMBER($R292),$R292&lt;Baseline!$B$9),"Low AI confidence - verify",IF(AND($H292="Fully Compliant",$J292&lt;&gt;"GREEN"),"Declared Fully - evidence differs","")))))</f>
        <v/>
      </c>
      <c r="N292" s="58">
        <f>IF($A292="","",IFERROR(INDEX(Baseline!$D$20:$D$49,MATCH($C292,Baseline!$A$20:$A$49,0)),""))</f>
        <v/>
      </c>
      <c r="O292" s="58">
        <f>IF($A292="","",IFERROR(INDEX(Baseline!$F$20:$F$49,MATCH($C292,Baseline!$A$20:$A$49,0)),0))</f>
        <v/>
      </c>
      <c r="P292" s="58">
        <f>IF($A292="","",IFERROR(INDEX(Baseline!$G$20:$G$49,MATCH($C292,Baseline!$A$20:$A$49,0)),"RED"))</f>
        <v/>
      </c>
      <c r="Q292" s="58">
        <f>IF($A292="","",$A292&amp;"|"&amp;$B292&amp;"|"&amp;$C292)</f>
        <v/>
      </c>
      <c r="R292" s="59" t="n"/>
      <c r="S292" s="60" t="n"/>
    </row>
    <row r="293" ht="15" customHeight="1" s="34">
      <c r="A293" s="54" t="n"/>
      <c r="B293" s="54" t="n"/>
      <c r="C293" s="54" t="n"/>
      <c r="D293" s="55">
        <f>IF($A293="","",IFERROR(INDEX(Baseline!$B$20:$B$49,MATCH($C293,Baseline!$A$20:$A$49,0)),"Line not in baseline"))</f>
        <v/>
      </c>
      <c r="E293" s="55">
        <f>IF($A293="","",IFERROR(INDEX(Baseline!$C$20:$C$49,MATCH($C293,Baseline!$A$20:$A$49,0)),""))</f>
        <v/>
      </c>
      <c r="F293" s="56">
        <f>IF($A293="","",IFERROR(INDEX(Baseline!$E$20:$E$49,MATCH($C293,Baseline!$A$20:$A$49,0)),""))</f>
        <v/>
      </c>
      <c r="G293" s="57" t="n"/>
      <c r="H293" s="54" t="n"/>
      <c r="I293" s="54" t="n"/>
      <c r="J293" s="39">
        <f>IF($A293="","",IF($E293="Informational","GREEN",IF($G293="",IF($E293="Mandatory","RED","YELLOW"),IF($N293="Exact",IF(UPPER(TRIM($G293&amp;""))=UPPER(TRIM($F293&amp;"")),"GREEN",$P293),IF(NOT(ISNUMBER($G293)),$P293,IF($N293="Min",IF($G293&gt;=$F293,"GREEN",IF($G293&gt;=$F293-$O293,"YELLOW",$P293)),IF($N293="Max",IF($G293&lt;=$F293,"GREEN",IF($G293&lt;=$F293+$O293,"YELLOW",$P293)),IF($N293="Range",IF(ABS($G293-$F293)&lt;=$O293,"GREEN",$P293),"CHECK RULE"))))))))</f>
        <v/>
      </c>
      <c r="K293" s="39">
        <f>IF($A293="","",IF($H293="Non-Compliant","RED",IF(AND(OR($H293="Alternative Offer",$H293="Partially Compliant"),$J293="GREEN"),"YELLOW",IF(AND($J293="GREEN",ISNUMBER($R293),$R293&lt;Baseline!$B$9),"YELLOW",$J293))))</f>
        <v/>
      </c>
      <c r="L293" s="39">
        <f>IF($A293="","",IF($K293="GREEN","GREEN",IF(COUNTIFS(Exceptions!$B$5:$B$104,$A293,Exceptions!$C$5:$C$104,$B293,Exceptions!$D$5:$D$104,$C293,Exceptions!$G$5:$G$104,"Accepted",Exceptions!$H$5:$H$104,"&lt;&gt;")&gt;0,"CLEARED",$K293)))</f>
        <v/>
      </c>
      <c r="M293" s="39">
        <f>IF($A293="","",IF($H293="","Declaration missing",IF($H293="Not Stated","Not stated in quotation",IF(AND(ISNUMBER($R293),$R293&lt;Baseline!$B$9),"Low AI confidence - verify",IF(AND($H293="Fully Compliant",$J293&lt;&gt;"GREEN"),"Declared Fully - evidence differs","")))))</f>
        <v/>
      </c>
      <c r="N293" s="58">
        <f>IF($A293="","",IFERROR(INDEX(Baseline!$D$20:$D$49,MATCH($C293,Baseline!$A$20:$A$49,0)),""))</f>
        <v/>
      </c>
      <c r="O293" s="58">
        <f>IF($A293="","",IFERROR(INDEX(Baseline!$F$20:$F$49,MATCH($C293,Baseline!$A$20:$A$49,0)),0))</f>
        <v/>
      </c>
      <c r="P293" s="58">
        <f>IF($A293="","",IFERROR(INDEX(Baseline!$G$20:$G$49,MATCH($C293,Baseline!$A$20:$A$49,0)),"RED"))</f>
        <v/>
      </c>
      <c r="Q293" s="58">
        <f>IF($A293="","",$A293&amp;"|"&amp;$B293&amp;"|"&amp;$C293)</f>
        <v/>
      </c>
      <c r="R293" s="59" t="n"/>
      <c r="S293" s="60" t="n"/>
    </row>
    <row r="294" ht="15" customHeight="1" s="34">
      <c r="A294" s="54" t="n"/>
      <c r="B294" s="54" t="n"/>
      <c r="C294" s="54" t="n"/>
      <c r="D294" s="55">
        <f>IF($A294="","",IFERROR(INDEX(Baseline!$B$20:$B$49,MATCH($C294,Baseline!$A$20:$A$49,0)),"Line not in baseline"))</f>
        <v/>
      </c>
      <c r="E294" s="55">
        <f>IF($A294="","",IFERROR(INDEX(Baseline!$C$20:$C$49,MATCH($C294,Baseline!$A$20:$A$49,0)),""))</f>
        <v/>
      </c>
      <c r="F294" s="56">
        <f>IF($A294="","",IFERROR(INDEX(Baseline!$E$20:$E$49,MATCH($C294,Baseline!$A$20:$A$49,0)),""))</f>
        <v/>
      </c>
      <c r="G294" s="57" t="n"/>
      <c r="H294" s="54" t="n"/>
      <c r="I294" s="54" t="n"/>
      <c r="J294" s="39">
        <f>IF($A294="","",IF($E294="Informational","GREEN",IF($G294="",IF($E294="Mandatory","RED","YELLOW"),IF($N294="Exact",IF(UPPER(TRIM($G294&amp;""))=UPPER(TRIM($F294&amp;"")),"GREEN",$P294),IF(NOT(ISNUMBER($G294)),$P294,IF($N294="Min",IF($G294&gt;=$F294,"GREEN",IF($G294&gt;=$F294-$O294,"YELLOW",$P294)),IF($N294="Max",IF($G294&lt;=$F294,"GREEN",IF($G294&lt;=$F294+$O294,"YELLOW",$P294)),IF($N294="Range",IF(ABS($G294-$F294)&lt;=$O294,"GREEN",$P294),"CHECK RULE"))))))))</f>
        <v/>
      </c>
      <c r="K294" s="39">
        <f>IF($A294="","",IF($H294="Non-Compliant","RED",IF(AND(OR($H294="Alternative Offer",$H294="Partially Compliant"),$J294="GREEN"),"YELLOW",IF(AND($J294="GREEN",ISNUMBER($R294),$R294&lt;Baseline!$B$9),"YELLOW",$J294))))</f>
        <v/>
      </c>
      <c r="L294" s="39">
        <f>IF($A294="","",IF($K294="GREEN","GREEN",IF(COUNTIFS(Exceptions!$B$5:$B$104,$A294,Exceptions!$C$5:$C$104,$B294,Exceptions!$D$5:$D$104,$C294,Exceptions!$G$5:$G$104,"Accepted",Exceptions!$H$5:$H$104,"&lt;&gt;")&gt;0,"CLEARED",$K294)))</f>
        <v/>
      </c>
      <c r="M294" s="39">
        <f>IF($A294="","",IF($H294="","Declaration missing",IF($H294="Not Stated","Not stated in quotation",IF(AND(ISNUMBER($R294),$R294&lt;Baseline!$B$9),"Low AI confidence - verify",IF(AND($H294="Fully Compliant",$J294&lt;&gt;"GREEN"),"Declared Fully - evidence differs","")))))</f>
        <v/>
      </c>
      <c r="N294" s="58">
        <f>IF($A294="","",IFERROR(INDEX(Baseline!$D$20:$D$49,MATCH($C294,Baseline!$A$20:$A$49,0)),""))</f>
        <v/>
      </c>
      <c r="O294" s="58">
        <f>IF($A294="","",IFERROR(INDEX(Baseline!$F$20:$F$49,MATCH($C294,Baseline!$A$20:$A$49,0)),0))</f>
        <v/>
      </c>
      <c r="P294" s="58">
        <f>IF($A294="","",IFERROR(INDEX(Baseline!$G$20:$G$49,MATCH($C294,Baseline!$A$20:$A$49,0)),"RED"))</f>
        <v/>
      </c>
      <c r="Q294" s="58">
        <f>IF($A294="","",$A294&amp;"|"&amp;$B294&amp;"|"&amp;$C294)</f>
        <v/>
      </c>
      <c r="R294" s="59" t="n"/>
      <c r="S294" s="60" t="n"/>
    </row>
    <row r="295" ht="15" customHeight="1" s="34">
      <c r="A295" s="54" t="n"/>
      <c r="B295" s="54" t="n"/>
      <c r="C295" s="54" t="n"/>
      <c r="D295" s="55">
        <f>IF($A295="","",IFERROR(INDEX(Baseline!$B$20:$B$49,MATCH($C295,Baseline!$A$20:$A$49,0)),"Line not in baseline"))</f>
        <v/>
      </c>
      <c r="E295" s="55">
        <f>IF($A295="","",IFERROR(INDEX(Baseline!$C$20:$C$49,MATCH($C295,Baseline!$A$20:$A$49,0)),""))</f>
        <v/>
      </c>
      <c r="F295" s="56">
        <f>IF($A295="","",IFERROR(INDEX(Baseline!$E$20:$E$49,MATCH($C295,Baseline!$A$20:$A$49,0)),""))</f>
        <v/>
      </c>
      <c r="G295" s="57" t="n"/>
      <c r="H295" s="54" t="n"/>
      <c r="I295" s="54" t="n"/>
      <c r="J295" s="39">
        <f>IF($A295="","",IF($E295="Informational","GREEN",IF($G295="",IF($E295="Mandatory","RED","YELLOW"),IF($N295="Exact",IF(UPPER(TRIM($G295&amp;""))=UPPER(TRIM($F295&amp;"")),"GREEN",$P295),IF(NOT(ISNUMBER($G295)),$P295,IF($N295="Min",IF($G295&gt;=$F295,"GREEN",IF($G295&gt;=$F295-$O295,"YELLOW",$P295)),IF($N295="Max",IF($G295&lt;=$F295,"GREEN",IF($G295&lt;=$F295+$O295,"YELLOW",$P295)),IF($N295="Range",IF(ABS($G295-$F295)&lt;=$O295,"GREEN",$P295),"CHECK RULE"))))))))</f>
        <v/>
      </c>
      <c r="K295" s="39">
        <f>IF($A295="","",IF($H295="Non-Compliant","RED",IF(AND(OR($H295="Alternative Offer",$H295="Partially Compliant"),$J295="GREEN"),"YELLOW",IF(AND($J295="GREEN",ISNUMBER($R295),$R295&lt;Baseline!$B$9),"YELLOW",$J295))))</f>
        <v/>
      </c>
      <c r="L295" s="39">
        <f>IF($A295="","",IF($K295="GREEN","GREEN",IF(COUNTIFS(Exceptions!$B$5:$B$104,$A295,Exceptions!$C$5:$C$104,$B295,Exceptions!$D$5:$D$104,$C295,Exceptions!$G$5:$G$104,"Accepted",Exceptions!$H$5:$H$104,"&lt;&gt;")&gt;0,"CLEARED",$K295)))</f>
        <v/>
      </c>
      <c r="M295" s="39">
        <f>IF($A295="","",IF($H295="","Declaration missing",IF($H295="Not Stated","Not stated in quotation",IF(AND(ISNUMBER($R295),$R295&lt;Baseline!$B$9),"Low AI confidence - verify",IF(AND($H295="Fully Compliant",$J295&lt;&gt;"GREEN"),"Declared Fully - evidence differs","")))))</f>
        <v/>
      </c>
      <c r="N295" s="58">
        <f>IF($A295="","",IFERROR(INDEX(Baseline!$D$20:$D$49,MATCH($C295,Baseline!$A$20:$A$49,0)),""))</f>
        <v/>
      </c>
      <c r="O295" s="58">
        <f>IF($A295="","",IFERROR(INDEX(Baseline!$F$20:$F$49,MATCH($C295,Baseline!$A$20:$A$49,0)),0))</f>
        <v/>
      </c>
      <c r="P295" s="58">
        <f>IF($A295="","",IFERROR(INDEX(Baseline!$G$20:$G$49,MATCH($C295,Baseline!$A$20:$A$49,0)),"RED"))</f>
        <v/>
      </c>
      <c r="Q295" s="58">
        <f>IF($A295="","",$A295&amp;"|"&amp;$B295&amp;"|"&amp;$C295)</f>
        <v/>
      </c>
      <c r="R295" s="59" t="n"/>
      <c r="S295" s="60" t="n"/>
    </row>
    <row r="296" ht="15" customHeight="1" s="34">
      <c r="A296" s="54" t="n"/>
      <c r="B296" s="54" t="n"/>
      <c r="C296" s="54" t="n"/>
      <c r="D296" s="55">
        <f>IF($A296="","",IFERROR(INDEX(Baseline!$B$20:$B$49,MATCH($C296,Baseline!$A$20:$A$49,0)),"Line not in baseline"))</f>
        <v/>
      </c>
      <c r="E296" s="55">
        <f>IF($A296="","",IFERROR(INDEX(Baseline!$C$20:$C$49,MATCH($C296,Baseline!$A$20:$A$49,0)),""))</f>
        <v/>
      </c>
      <c r="F296" s="56">
        <f>IF($A296="","",IFERROR(INDEX(Baseline!$E$20:$E$49,MATCH($C296,Baseline!$A$20:$A$49,0)),""))</f>
        <v/>
      </c>
      <c r="G296" s="57" t="n"/>
      <c r="H296" s="54" t="n"/>
      <c r="I296" s="54" t="n"/>
      <c r="J296" s="39">
        <f>IF($A296="","",IF($E296="Informational","GREEN",IF($G296="",IF($E296="Mandatory","RED","YELLOW"),IF($N296="Exact",IF(UPPER(TRIM($G296&amp;""))=UPPER(TRIM($F296&amp;"")),"GREEN",$P296),IF(NOT(ISNUMBER($G296)),$P296,IF($N296="Min",IF($G296&gt;=$F296,"GREEN",IF($G296&gt;=$F296-$O296,"YELLOW",$P296)),IF($N296="Max",IF($G296&lt;=$F296,"GREEN",IF($G296&lt;=$F296+$O296,"YELLOW",$P296)),IF($N296="Range",IF(ABS($G296-$F296)&lt;=$O296,"GREEN",$P296),"CHECK RULE"))))))))</f>
        <v/>
      </c>
      <c r="K296" s="39">
        <f>IF($A296="","",IF($H296="Non-Compliant","RED",IF(AND(OR($H296="Alternative Offer",$H296="Partially Compliant"),$J296="GREEN"),"YELLOW",IF(AND($J296="GREEN",ISNUMBER($R296),$R296&lt;Baseline!$B$9),"YELLOW",$J296))))</f>
        <v/>
      </c>
      <c r="L296" s="39">
        <f>IF($A296="","",IF($K296="GREEN","GREEN",IF(COUNTIFS(Exceptions!$B$5:$B$104,$A296,Exceptions!$C$5:$C$104,$B296,Exceptions!$D$5:$D$104,$C296,Exceptions!$G$5:$G$104,"Accepted",Exceptions!$H$5:$H$104,"&lt;&gt;")&gt;0,"CLEARED",$K296)))</f>
        <v/>
      </c>
      <c r="M296" s="39">
        <f>IF($A296="","",IF($H296="","Declaration missing",IF($H296="Not Stated","Not stated in quotation",IF(AND(ISNUMBER($R296),$R296&lt;Baseline!$B$9),"Low AI confidence - verify",IF(AND($H296="Fully Compliant",$J296&lt;&gt;"GREEN"),"Declared Fully - evidence differs","")))))</f>
        <v/>
      </c>
      <c r="N296" s="58">
        <f>IF($A296="","",IFERROR(INDEX(Baseline!$D$20:$D$49,MATCH($C296,Baseline!$A$20:$A$49,0)),""))</f>
        <v/>
      </c>
      <c r="O296" s="58">
        <f>IF($A296="","",IFERROR(INDEX(Baseline!$F$20:$F$49,MATCH($C296,Baseline!$A$20:$A$49,0)),0))</f>
        <v/>
      </c>
      <c r="P296" s="58">
        <f>IF($A296="","",IFERROR(INDEX(Baseline!$G$20:$G$49,MATCH($C296,Baseline!$A$20:$A$49,0)),"RED"))</f>
        <v/>
      </c>
      <c r="Q296" s="58">
        <f>IF($A296="","",$A296&amp;"|"&amp;$B296&amp;"|"&amp;$C296)</f>
        <v/>
      </c>
      <c r="R296" s="59" t="n"/>
      <c r="S296" s="60" t="n"/>
    </row>
    <row r="297" ht="15" customHeight="1" s="34">
      <c r="A297" s="54" t="n"/>
      <c r="B297" s="54" t="n"/>
      <c r="C297" s="54" t="n"/>
      <c r="D297" s="55">
        <f>IF($A297="","",IFERROR(INDEX(Baseline!$B$20:$B$49,MATCH($C297,Baseline!$A$20:$A$49,0)),"Line not in baseline"))</f>
        <v/>
      </c>
      <c r="E297" s="55">
        <f>IF($A297="","",IFERROR(INDEX(Baseline!$C$20:$C$49,MATCH($C297,Baseline!$A$20:$A$49,0)),""))</f>
        <v/>
      </c>
      <c r="F297" s="56">
        <f>IF($A297="","",IFERROR(INDEX(Baseline!$E$20:$E$49,MATCH($C297,Baseline!$A$20:$A$49,0)),""))</f>
        <v/>
      </c>
      <c r="G297" s="57" t="n"/>
      <c r="H297" s="54" t="n"/>
      <c r="I297" s="54" t="n"/>
      <c r="J297" s="39">
        <f>IF($A297="","",IF($E297="Informational","GREEN",IF($G297="",IF($E297="Mandatory","RED","YELLOW"),IF($N297="Exact",IF(UPPER(TRIM($G297&amp;""))=UPPER(TRIM($F297&amp;"")),"GREEN",$P297),IF(NOT(ISNUMBER($G297)),$P297,IF($N297="Min",IF($G297&gt;=$F297,"GREEN",IF($G297&gt;=$F297-$O297,"YELLOW",$P297)),IF($N297="Max",IF($G297&lt;=$F297,"GREEN",IF($G297&lt;=$F297+$O297,"YELLOW",$P297)),IF($N297="Range",IF(ABS($G297-$F297)&lt;=$O297,"GREEN",$P297),"CHECK RULE"))))))))</f>
        <v/>
      </c>
      <c r="K297" s="39">
        <f>IF($A297="","",IF($H297="Non-Compliant","RED",IF(AND(OR($H297="Alternative Offer",$H297="Partially Compliant"),$J297="GREEN"),"YELLOW",IF(AND($J297="GREEN",ISNUMBER($R297),$R297&lt;Baseline!$B$9),"YELLOW",$J297))))</f>
        <v/>
      </c>
      <c r="L297" s="39">
        <f>IF($A297="","",IF($K297="GREEN","GREEN",IF(COUNTIFS(Exceptions!$B$5:$B$104,$A297,Exceptions!$C$5:$C$104,$B297,Exceptions!$D$5:$D$104,$C297,Exceptions!$G$5:$G$104,"Accepted",Exceptions!$H$5:$H$104,"&lt;&gt;")&gt;0,"CLEARED",$K297)))</f>
        <v/>
      </c>
      <c r="M297" s="39">
        <f>IF($A297="","",IF($H297="","Declaration missing",IF($H297="Not Stated","Not stated in quotation",IF(AND(ISNUMBER($R297),$R297&lt;Baseline!$B$9),"Low AI confidence - verify",IF(AND($H297="Fully Compliant",$J297&lt;&gt;"GREEN"),"Declared Fully - evidence differs","")))))</f>
        <v/>
      </c>
      <c r="N297" s="58">
        <f>IF($A297="","",IFERROR(INDEX(Baseline!$D$20:$D$49,MATCH($C297,Baseline!$A$20:$A$49,0)),""))</f>
        <v/>
      </c>
      <c r="O297" s="58">
        <f>IF($A297="","",IFERROR(INDEX(Baseline!$F$20:$F$49,MATCH($C297,Baseline!$A$20:$A$49,0)),0))</f>
        <v/>
      </c>
      <c r="P297" s="58">
        <f>IF($A297="","",IFERROR(INDEX(Baseline!$G$20:$G$49,MATCH($C297,Baseline!$A$20:$A$49,0)),"RED"))</f>
        <v/>
      </c>
      <c r="Q297" s="58">
        <f>IF($A297="","",$A297&amp;"|"&amp;$B297&amp;"|"&amp;$C297)</f>
        <v/>
      </c>
      <c r="R297" s="59" t="n"/>
      <c r="S297" s="60" t="n"/>
    </row>
    <row r="298" ht="15" customHeight="1" s="34">
      <c r="A298" s="54" t="n"/>
      <c r="B298" s="54" t="n"/>
      <c r="C298" s="54" t="n"/>
      <c r="D298" s="55">
        <f>IF($A298="","",IFERROR(INDEX(Baseline!$B$20:$B$49,MATCH($C298,Baseline!$A$20:$A$49,0)),"Line not in baseline"))</f>
        <v/>
      </c>
      <c r="E298" s="55">
        <f>IF($A298="","",IFERROR(INDEX(Baseline!$C$20:$C$49,MATCH($C298,Baseline!$A$20:$A$49,0)),""))</f>
        <v/>
      </c>
      <c r="F298" s="56">
        <f>IF($A298="","",IFERROR(INDEX(Baseline!$E$20:$E$49,MATCH($C298,Baseline!$A$20:$A$49,0)),""))</f>
        <v/>
      </c>
      <c r="G298" s="57" t="n"/>
      <c r="H298" s="54" t="n"/>
      <c r="I298" s="54" t="n"/>
      <c r="J298" s="39">
        <f>IF($A298="","",IF($E298="Informational","GREEN",IF($G298="",IF($E298="Mandatory","RED","YELLOW"),IF($N298="Exact",IF(UPPER(TRIM($G298&amp;""))=UPPER(TRIM($F298&amp;"")),"GREEN",$P298),IF(NOT(ISNUMBER($G298)),$P298,IF($N298="Min",IF($G298&gt;=$F298,"GREEN",IF($G298&gt;=$F298-$O298,"YELLOW",$P298)),IF($N298="Max",IF($G298&lt;=$F298,"GREEN",IF($G298&lt;=$F298+$O298,"YELLOW",$P298)),IF($N298="Range",IF(ABS($G298-$F298)&lt;=$O298,"GREEN",$P298),"CHECK RULE"))))))))</f>
        <v/>
      </c>
      <c r="K298" s="39">
        <f>IF($A298="","",IF($H298="Non-Compliant","RED",IF(AND(OR($H298="Alternative Offer",$H298="Partially Compliant"),$J298="GREEN"),"YELLOW",IF(AND($J298="GREEN",ISNUMBER($R298),$R298&lt;Baseline!$B$9),"YELLOW",$J298))))</f>
        <v/>
      </c>
      <c r="L298" s="39">
        <f>IF($A298="","",IF($K298="GREEN","GREEN",IF(COUNTIFS(Exceptions!$B$5:$B$104,$A298,Exceptions!$C$5:$C$104,$B298,Exceptions!$D$5:$D$104,$C298,Exceptions!$G$5:$G$104,"Accepted",Exceptions!$H$5:$H$104,"&lt;&gt;")&gt;0,"CLEARED",$K298)))</f>
        <v/>
      </c>
      <c r="M298" s="39">
        <f>IF($A298="","",IF($H298="","Declaration missing",IF($H298="Not Stated","Not stated in quotation",IF(AND(ISNUMBER($R298),$R298&lt;Baseline!$B$9),"Low AI confidence - verify",IF(AND($H298="Fully Compliant",$J298&lt;&gt;"GREEN"),"Declared Fully - evidence differs","")))))</f>
        <v/>
      </c>
      <c r="N298" s="58">
        <f>IF($A298="","",IFERROR(INDEX(Baseline!$D$20:$D$49,MATCH($C298,Baseline!$A$20:$A$49,0)),""))</f>
        <v/>
      </c>
      <c r="O298" s="58">
        <f>IF($A298="","",IFERROR(INDEX(Baseline!$F$20:$F$49,MATCH($C298,Baseline!$A$20:$A$49,0)),0))</f>
        <v/>
      </c>
      <c r="P298" s="58">
        <f>IF($A298="","",IFERROR(INDEX(Baseline!$G$20:$G$49,MATCH($C298,Baseline!$A$20:$A$49,0)),"RED"))</f>
        <v/>
      </c>
      <c r="Q298" s="58">
        <f>IF($A298="","",$A298&amp;"|"&amp;$B298&amp;"|"&amp;$C298)</f>
        <v/>
      </c>
      <c r="R298" s="59" t="n"/>
      <c r="S298" s="60" t="n"/>
    </row>
    <row r="299" ht="15" customHeight="1" s="34">
      <c r="A299" s="54" t="n"/>
      <c r="B299" s="54" t="n"/>
      <c r="C299" s="54" t="n"/>
      <c r="D299" s="55">
        <f>IF($A299="","",IFERROR(INDEX(Baseline!$B$20:$B$49,MATCH($C299,Baseline!$A$20:$A$49,0)),"Line not in baseline"))</f>
        <v/>
      </c>
      <c r="E299" s="55">
        <f>IF($A299="","",IFERROR(INDEX(Baseline!$C$20:$C$49,MATCH($C299,Baseline!$A$20:$A$49,0)),""))</f>
        <v/>
      </c>
      <c r="F299" s="56">
        <f>IF($A299="","",IFERROR(INDEX(Baseline!$E$20:$E$49,MATCH($C299,Baseline!$A$20:$A$49,0)),""))</f>
        <v/>
      </c>
      <c r="G299" s="57" t="n"/>
      <c r="H299" s="54" t="n"/>
      <c r="I299" s="54" t="n"/>
      <c r="J299" s="39">
        <f>IF($A299="","",IF($E299="Informational","GREEN",IF($G299="",IF($E299="Mandatory","RED","YELLOW"),IF($N299="Exact",IF(UPPER(TRIM($G299&amp;""))=UPPER(TRIM($F299&amp;"")),"GREEN",$P299),IF(NOT(ISNUMBER($G299)),$P299,IF($N299="Min",IF($G299&gt;=$F299,"GREEN",IF($G299&gt;=$F299-$O299,"YELLOW",$P299)),IF($N299="Max",IF($G299&lt;=$F299,"GREEN",IF($G299&lt;=$F299+$O299,"YELLOW",$P299)),IF($N299="Range",IF(ABS($G299-$F299)&lt;=$O299,"GREEN",$P299),"CHECK RULE"))))))))</f>
        <v/>
      </c>
      <c r="K299" s="39">
        <f>IF($A299="","",IF($H299="Non-Compliant","RED",IF(AND(OR($H299="Alternative Offer",$H299="Partially Compliant"),$J299="GREEN"),"YELLOW",IF(AND($J299="GREEN",ISNUMBER($R299),$R299&lt;Baseline!$B$9),"YELLOW",$J299))))</f>
        <v/>
      </c>
      <c r="L299" s="39">
        <f>IF($A299="","",IF($K299="GREEN","GREEN",IF(COUNTIFS(Exceptions!$B$5:$B$104,$A299,Exceptions!$C$5:$C$104,$B299,Exceptions!$D$5:$D$104,$C299,Exceptions!$G$5:$G$104,"Accepted",Exceptions!$H$5:$H$104,"&lt;&gt;")&gt;0,"CLEARED",$K299)))</f>
        <v/>
      </c>
      <c r="M299" s="39">
        <f>IF($A299="","",IF($H299="","Declaration missing",IF($H299="Not Stated","Not stated in quotation",IF(AND(ISNUMBER($R299),$R299&lt;Baseline!$B$9),"Low AI confidence - verify",IF(AND($H299="Fully Compliant",$J299&lt;&gt;"GREEN"),"Declared Fully - evidence differs","")))))</f>
        <v/>
      </c>
      <c r="N299" s="58">
        <f>IF($A299="","",IFERROR(INDEX(Baseline!$D$20:$D$49,MATCH($C299,Baseline!$A$20:$A$49,0)),""))</f>
        <v/>
      </c>
      <c r="O299" s="58">
        <f>IF($A299="","",IFERROR(INDEX(Baseline!$F$20:$F$49,MATCH($C299,Baseline!$A$20:$A$49,0)),0))</f>
        <v/>
      </c>
      <c r="P299" s="58">
        <f>IF($A299="","",IFERROR(INDEX(Baseline!$G$20:$G$49,MATCH($C299,Baseline!$A$20:$A$49,0)),"RED"))</f>
        <v/>
      </c>
      <c r="Q299" s="58">
        <f>IF($A299="","",$A299&amp;"|"&amp;$B299&amp;"|"&amp;$C299)</f>
        <v/>
      </c>
      <c r="R299" s="59" t="n"/>
      <c r="S299" s="60" t="n"/>
    </row>
    <row r="300" ht="15" customHeight="1" s="34">
      <c r="A300" s="54" t="n"/>
      <c r="B300" s="54" t="n"/>
      <c r="C300" s="54" t="n"/>
      <c r="D300" s="55">
        <f>IF($A300="","",IFERROR(INDEX(Baseline!$B$20:$B$49,MATCH($C300,Baseline!$A$20:$A$49,0)),"Line not in baseline"))</f>
        <v/>
      </c>
      <c r="E300" s="55">
        <f>IF($A300="","",IFERROR(INDEX(Baseline!$C$20:$C$49,MATCH($C300,Baseline!$A$20:$A$49,0)),""))</f>
        <v/>
      </c>
      <c r="F300" s="56">
        <f>IF($A300="","",IFERROR(INDEX(Baseline!$E$20:$E$49,MATCH($C300,Baseline!$A$20:$A$49,0)),""))</f>
        <v/>
      </c>
      <c r="G300" s="57" t="n"/>
      <c r="H300" s="54" t="n"/>
      <c r="I300" s="54" t="n"/>
      <c r="J300" s="39">
        <f>IF($A300="","",IF($E300="Informational","GREEN",IF($G300="",IF($E300="Mandatory","RED","YELLOW"),IF($N300="Exact",IF(UPPER(TRIM($G300&amp;""))=UPPER(TRIM($F300&amp;"")),"GREEN",$P300),IF(NOT(ISNUMBER($G300)),$P300,IF($N300="Min",IF($G300&gt;=$F300,"GREEN",IF($G300&gt;=$F300-$O300,"YELLOW",$P300)),IF($N300="Max",IF($G300&lt;=$F300,"GREEN",IF($G300&lt;=$F300+$O300,"YELLOW",$P300)),IF($N300="Range",IF(ABS($G300-$F300)&lt;=$O300,"GREEN",$P300),"CHECK RULE"))))))))</f>
        <v/>
      </c>
      <c r="K300" s="39">
        <f>IF($A300="","",IF($H300="Non-Compliant","RED",IF(AND(OR($H300="Alternative Offer",$H300="Partially Compliant"),$J300="GREEN"),"YELLOW",IF(AND($J300="GREEN",ISNUMBER($R300),$R300&lt;Baseline!$B$9),"YELLOW",$J300))))</f>
        <v/>
      </c>
      <c r="L300" s="39">
        <f>IF($A300="","",IF($K300="GREEN","GREEN",IF(COUNTIFS(Exceptions!$B$5:$B$104,$A300,Exceptions!$C$5:$C$104,$B300,Exceptions!$D$5:$D$104,$C300,Exceptions!$G$5:$G$104,"Accepted",Exceptions!$H$5:$H$104,"&lt;&gt;")&gt;0,"CLEARED",$K300)))</f>
        <v/>
      </c>
      <c r="M300" s="39">
        <f>IF($A300="","",IF($H300="","Declaration missing",IF($H300="Not Stated","Not stated in quotation",IF(AND(ISNUMBER($R300),$R300&lt;Baseline!$B$9),"Low AI confidence - verify",IF(AND($H300="Fully Compliant",$J300&lt;&gt;"GREEN"),"Declared Fully - evidence differs","")))))</f>
        <v/>
      </c>
      <c r="N300" s="58">
        <f>IF($A300="","",IFERROR(INDEX(Baseline!$D$20:$D$49,MATCH($C300,Baseline!$A$20:$A$49,0)),""))</f>
        <v/>
      </c>
      <c r="O300" s="58">
        <f>IF($A300="","",IFERROR(INDEX(Baseline!$F$20:$F$49,MATCH($C300,Baseline!$A$20:$A$49,0)),0))</f>
        <v/>
      </c>
      <c r="P300" s="58">
        <f>IF($A300="","",IFERROR(INDEX(Baseline!$G$20:$G$49,MATCH($C300,Baseline!$A$20:$A$49,0)),"RED"))</f>
        <v/>
      </c>
      <c r="Q300" s="58">
        <f>IF($A300="","",$A300&amp;"|"&amp;$B300&amp;"|"&amp;$C300)</f>
        <v/>
      </c>
      <c r="R300" s="59" t="n"/>
      <c r="S300" s="60" t="n"/>
    </row>
    <row r="301" ht="15" customHeight="1" s="34">
      <c r="A301" s="54" t="n"/>
      <c r="B301" s="54" t="n"/>
      <c r="C301" s="54" t="n"/>
      <c r="D301" s="55">
        <f>IF($A301="","",IFERROR(INDEX(Baseline!$B$20:$B$49,MATCH($C301,Baseline!$A$20:$A$49,0)),"Line not in baseline"))</f>
        <v/>
      </c>
      <c r="E301" s="55">
        <f>IF($A301="","",IFERROR(INDEX(Baseline!$C$20:$C$49,MATCH($C301,Baseline!$A$20:$A$49,0)),""))</f>
        <v/>
      </c>
      <c r="F301" s="56">
        <f>IF($A301="","",IFERROR(INDEX(Baseline!$E$20:$E$49,MATCH($C301,Baseline!$A$20:$A$49,0)),""))</f>
        <v/>
      </c>
      <c r="G301" s="57" t="n"/>
      <c r="H301" s="54" t="n"/>
      <c r="I301" s="54" t="n"/>
      <c r="J301" s="39">
        <f>IF($A301="","",IF($E301="Informational","GREEN",IF($G301="",IF($E301="Mandatory","RED","YELLOW"),IF($N301="Exact",IF(UPPER(TRIM($G301&amp;""))=UPPER(TRIM($F301&amp;"")),"GREEN",$P301),IF(NOT(ISNUMBER($G301)),$P301,IF($N301="Min",IF($G301&gt;=$F301,"GREEN",IF($G301&gt;=$F301-$O301,"YELLOW",$P301)),IF($N301="Max",IF($G301&lt;=$F301,"GREEN",IF($G301&lt;=$F301+$O301,"YELLOW",$P301)),IF($N301="Range",IF(ABS($G301-$F301)&lt;=$O301,"GREEN",$P301),"CHECK RULE"))))))))</f>
        <v/>
      </c>
      <c r="K301" s="39">
        <f>IF($A301="","",IF($H301="Non-Compliant","RED",IF(AND(OR($H301="Alternative Offer",$H301="Partially Compliant"),$J301="GREEN"),"YELLOW",IF(AND($J301="GREEN",ISNUMBER($R301),$R301&lt;Baseline!$B$9),"YELLOW",$J301))))</f>
        <v/>
      </c>
      <c r="L301" s="39">
        <f>IF($A301="","",IF($K301="GREEN","GREEN",IF(COUNTIFS(Exceptions!$B$5:$B$104,$A301,Exceptions!$C$5:$C$104,$B301,Exceptions!$D$5:$D$104,$C301,Exceptions!$G$5:$G$104,"Accepted",Exceptions!$H$5:$H$104,"&lt;&gt;")&gt;0,"CLEARED",$K301)))</f>
        <v/>
      </c>
      <c r="M301" s="39">
        <f>IF($A301="","",IF($H301="","Declaration missing",IF($H301="Not Stated","Not stated in quotation",IF(AND(ISNUMBER($R301),$R301&lt;Baseline!$B$9),"Low AI confidence - verify",IF(AND($H301="Fully Compliant",$J301&lt;&gt;"GREEN"),"Declared Fully - evidence differs","")))))</f>
        <v/>
      </c>
      <c r="N301" s="58">
        <f>IF($A301="","",IFERROR(INDEX(Baseline!$D$20:$D$49,MATCH($C301,Baseline!$A$20:$A$49,0)),""))</f>
        <v/>
      </c>
      <c r="O301" s="58">
        <f>IF($A301="","",IFERROR(INDEX(Baseline!$F$20:$F$49,MATCH($C301,Baseline!$A$20:$A$49,0)),0))</f>
        <v/>
      </c>
      <c r="P301" s="58">
        <f>IF($A301="","",IFERROR(INDEX(Baseline!$G$20:$G$49,MATCH($C301,Baseline!$A$20:$A$49,0)),"RED"))</f>
        <v/>
      </c>
      <c r="Q301" s="58">
        <f>IF($A301="","",$A301&amp;"|"&amp;$B301&amp;"|"&amp;$C301)</f>
        <v/>
      </c>
      <c r="R301" s="59" t="n"/>
      <c r="S301" s="60" t="n"/>
    </row>
    <row r="302" ht="15" customHeight="1" s="34">
      <c r="A302" s="54" t="n"/>
      <c r="B302" s="54" t="n"/>
      <c r="C302" s="54" t="n"/>
      <c r="D302" s="55">
        <f>IF($A302="","",IFERROR(INDEX(Baseline!$B$20:$B$49,MATCH($C302,Baseline!$A$20:$A$49,0)),"Line not in baseline"))</f>
        <v/>
      </c>
      <c r="E302" s="55">
        <f>IF($A302="","",IFERROR(INDEX(Baseline!$C$20:$C$49,MATCH($C302,Baseline!$A$20:$A$49,0)),""))</f>
        <v/>
      </c>
      <c r="F302" s="56">
        <f>IF($A302="","",IFERROR(INDEX(Baseline!$E$20:$E$49,MATCH($C302,Baseline!$A$20:$A$49,0)),""))</f>
        <v/>
      </c>
      <c r="G302" s="57" t="n"/>
      <c r="H302" s="54" t="n"/>
      <c r="I302" s="54" t="n"/>
      <c r="J302" s="39">
        <f>IF($A302="","",IF($E302="Informational","GREEN",IF($G302="",IF($E302="Mandatory","RED","YELLOW"),IF($N302="Exact",IF(UPPER(TRIM($G302&amp;""))=UPPER(TRIM($F302&amp;"")),"GREEN",$P302),IF(NOT(ISNUMBER($G302)),$P302,IF($N302="Min",IF($G302&gt;=$F302,"GREEN",IF($G302&gt;=$F302-$O302,"YELLOW",$P302)),IF($N302="Max",IF($G302&lt;=$F302,"GREEN",IF($G302&lt;=$F302+$O302,"YELLOW",$P302)),IF($N302="Range",IF(ABS($G302-$F302)&lt;=$O302,"GREEN",$P302),"CHECK RULE"))))))))</f>
        <v/>
      </c>
      <c r="K302" s="39">
        <f>IF($A302="","",IF($H302="Non-Compliant","RED",IF(AND(OR($H302="Alternative Offer",$H302="Partially Compliant"),$J302="GREEN"),"YELLOW",IF(AND($J302="GREEN",ISNUMBER($R302),$R302&lt;Baseline!$B$9),"YELLOW",$J302))))</f>
        <v/>
      </c>
      <c r="L302" s="39">
        <f>IF($A302="","",IF($K302="GREEN","GREEN",IF(COUNTIFS(Exceptions!$B$5:$B$104,$A302,Exceptions!$C$5:$C$104,$B302,Exceptions!$D$5:$D$104,$C302,Exceptions!$G$5:$G$104,"Accepted",Exceptions!$H$5:$H$104,"&lt;&gt;")&gt;0,"CLEARED",$K302)))</f>
        <v/>
      </c>
      <c r="M302" s="39">
        <f>IF($A302="","",IF($H302="","Declaration missing",IF($H302="Not Stated","Not stated in quotation",IF(AND(ISNUMBER($R302),$R302&lt;Baseline!$B$9),"Low AI confidence - verify",IF(AND($H302="Fully Compliant",$J302&lt;&gt;"GREEN"),"Declared Fully - evidence differs","")))))</f>
        <v/>
      </c>
      <c r="N302" s="58">
        <f>IF($A302="","",IFERROR(INDEX(Baseline!$D$20:$D$49,MATCH($C302,Baseline!$A$20:$A$49,0)),""))</f>
        <v/>
      </c>
      <c r="O302" s="58">
        <f>IF($A302="","",IFERROR(INDEX(Baseline!$F$20:$F$49,MATCH($C302,Baseline!$A$20:$A$49,0)),0))</f>
        <v/>
      </c>
      <c r="P302" s="58">
        <f>IF($A302="","",IFERROR(INDEX(Baseline!$G$20:$G$49,MATCH($C302,Baseline!$A$20:$A$49,0)),"RED"))</f>
        <v/>
      </c>
      <c r="Q302" s="58">
        <f>IF($A302="","",$A302&amp;"|"&amp;$B302&amp;"|"&amp;$C302)</f>
        <v/>
      </c>
      <c r="R302" s="59" t="n"/>
      <c r="S302" s="60" t="n"/>
    </row>
    <row r="303" ht="15" customHeight="1" s="34">
      <c r="A303" s="54" t="n"/>
      <c r="B303" s="54" t="n"/>
      <c r="C303" s="54" t="n"/>
      <c r="D303" s="55">
        <f>IF($A303="","",IFERROR(INDEX(Baseline!$B$20:$B$49,MATCH($C303,Baseline!$A$20:$A$49,0)),"Line not in baseline"))</f>
        <v/>
      </c>
      <c r="E303" s="55">
        <f>IF($A303="","",IFERROR(INDEX(Baseline!$C$20:$C$49,MATCH($C303,Baseline!$A$20:$A$49,0)),""))</f>
        <v/>
      </c>
      <c r="F303" s="56">
        <f>IF($A303="","",IFERROR(INDEX(Baseline!$E$20:$E$49,MATCH($C303,Baseline!$A$20:$A$49,0)),""))</f>
        <v/>
      </c>
      <c r="G303" s="57" t="n"/>
      <c r="H303" s="54" t="n"/>
      <c r="I303" s="54" t="n"/>
      <c r="J303" s="39">
        <f>IF($A303="","",IF($E303="Informational","GREEN",IF($G303="",IF($E303="Mandatory","RED","YELLOW"),IF($N303="Exact",IF(UPPER(TRIM($G303&amp;""))=UPPER(TRIM($F303&amp;"")),"GREEN",$P303),IF(NOT(ISNUMBER($G303)),$P303,IF($N303="Min",IF($G303&gt;=$F303,"GREEN",IF($G303&gt;=$F303-$O303,"YELLOW",$P303)),IF($N303="Max",IF($G303&lt;=$F303,"GREEN",IF($G303&lt;=$F303+$O303,"YELLOW",$P303)),IF($N303="Range",IF(ABS($G303-$F303)&lt;=$O303,"GREEN",$P303),"CHECK RULE"))))))))</f>
        <v/>
      </c>
      <c r="K303" s="39">
        <f>IF($A303="","",IF($H303="Non-Compliant","RED",IF(AND(OR($H303="Alternative Offer",$H303="Partially Compliant"),$J303="GREEN"),"YELLOW",IF(AND($J303="GREEN",ISNUMBER($R303),$R303&lt;Baseline!$B$9),"YELLOW",$J303))))</f>
        <v/>
      </c>
      <c r="L303" s="39">
        <f>IF($A303="","",IF($K303="GREEN","GREEN",IF(COUNTIFS(Exceptions!$B$5:$B$104,$A303,Exceptions!$C$5:$C$104,$B303,Exceptions!$D$5:$D$104,$C303,Exceptions!$G$5:$G$104,"Accepted",Exceptions!$H$5:$H$104,"&lt;&gt;")&gt;0,"CLEARED",$K303)))</f>
        <v/>
      </c>
      <c r="M303" s="39">
        <f>IF($A303="","",IF($H303="","Declaration missing",IF($H303="Not Stated","Not stated in quotation",IF(AND(ISNUMBER($R303),$R303&lt;Baseline!$B$9),"Low AI confidence - verify",IF(AND($H303="Fully Compliant",$J303&lt;&gt;"GREEN"),"Declared Fully - evidence differs","")))))</f>
        <v/>
      </c>
      <c r="N303" s="58">
        <f>IF($A303="","",IFERROR(INDEX(Baseline!$D$20:$D$49,MATCH($C303,Baseline!$A$20:$A$49,0)),""))</f>
        <v/>
      </c>
      <c r="O303" s="58">
        <f>IF($A303="","",IFERROR(INDEX(Baseline!$F$20:$F$49,MATCH($C303,Baseline!$A$20:$A$49,0)),0))</f>
        <v/>
      </c>
      <c r="P303" s="58">
        <f>IF($A303="","",IFERROR(INDEX(Baseline!$G$20:$G$49,MATCH($C303,Baseline!$A$20:$A$49,0)),"RED"))</f>
        <v/>
      </c>
      <c r="Q303" s="58">
        <f>IF($A303="","",$A303&amp;"|"&amp;$B303&amp;"|"&amp;$C303)</f>
        <v/>
      </c>
      <c r="R303" s="59" t="n"/>
      <c r="S303" s="60" t="n"/>
    </row>
    <row r="304" ht="15" customHeight="1" s="34">
      <c r="A304" s="54" t="n"/>
      <c r="B304" s="54" t="n"/>
      <c r="C304" s="54" t="n"/>
      <c r="D304" s="55">
        <f>IF($A304="","",IFERROR(INDEX(Baseline!$B$20:$B$49,MATCH($C304,Baseline!$A$20:$A$49,0)),"Line not in baseline"))</f>
        <v/>
      </c>
      <c r="E304" s="55">
        <f>IF($A304="","",IFERROR(INDEX(Baseline!$C$20:$C$49,MATCH($C304,Baseline!$A$20:$A$49,0)),""))</f>
        <v/>
      </c>
      <c r="F304" s="56">
        <f>IF($A304="","",IFERROR(INDEX(Baseline!$E$20:$E$49,MATCH($C304,Baseline!$A$20:$A$49,0)),""))</f>
        <v/>
      </c>
      <c r="G304" s="57" t="n"/>
      <c r="H304" s="54" t="n"/>
      <c r="I304" s="54" t="n"/>
      <c r="J304" s="39">
        <f>IF($A304="","",IF($E304="Informational","GREEN",IF($G304="",IF($E304="Mandatory","RED","YELLOW"),IF($N304="Exact",IF(UPPER(TRIM($G304&amp;""))=UPPER(TRIM($F304&amp;"")),"GREEN",$P304),IF(NOT(ISNUMBER($G304)),$P304,IF($N304="Min",IF($G304&gt;=$F304,"GREEN",IF($G304&gt;=$F304-$O304,"YELLOW",$P304)),IF($N304="Max",IF($G304&lt;=$F304,"GREEN",IF($G304&lt;=$F304+$O304,"YELLOW",$P304)),IF($N304="Range",IF(ABS($G304-$F304)&lt;=$O304,"GREEN",$P304),"CHECK RULE"))))))))</f>
        <v/>
      </c>
      <c r="K304" s="39">
        <f>IF($A304="","",IF($H304="Non-Compliant","RED",IF(AND(OR($H304="Alternative Offer",$H304="Partially Compliant"),$J304="GREEN"),"YELLOW",IF(AND($J304="GREEN",ISNUMBER($R304),$R304&lt;Baseline!$B$9),"YELLOW",$J304))))</f>
        <v/>
      </c>
      <c r="L304" s="39">
        <f>IF($A304="","",IF($K304="GREEN","GREEN",IF(COUNTIFS(Exceptions!$B$5:$B$104,$A304,Exceptions!$C$5:$C$104,$B304,Exceptions!$D$5:$D$104,$C304,Exceptions!$G$5:$G$104,"Accepted",Exceptions!$H$5:$H$104,"&lt;&gt;")&gt;0,"CLEARED",$K304)))</f>
        <v/>
      </c>
      <c r="M304" s="39">
        <f>IF($A304="","",IF($H304="","Declaration missing",IF($H304="Not Stated","Not stated in quotation",IF(AND(ISNUMBER($R304),$R304&lt;Baseline!$B$9),"Low AI confidence - verify",IF(AND($H304="Fully Compliant",$J304&lt;&gt;"GREEN"),"Declared Fully - evidence differs","")))))</f>
        <v/>
      </c>
      <c r="N304" s="58">
        <f>IF($A304="","",IFERROR(INDEX(Baseline!$D$20:$D$49,MATCH($C304,Baseline!$A$20:$A$49,0)),""))</f>
        <v/>
      </c>
      <c r="O304" s="58">
        <f>IF($A304="","",IFERROR(INDEX(Baseline!$F$20:$F$49,MATCH($C304,Baseline!$A$20:$A$49,0)),0))</f>
        <v/>
      </c>
      <c r="P304" s="58">
        <f>IF($A304="","",IFERROR(INDEX(Baseline!$G$20:$G$49,MATCH($C304,Baseline!$A$20:$A$49,0)),"RED"))</f>
        <v/>
      </c>
      <c r="Q304" s="58">
        <f>IF($A304="","",$A304&amp;"|"&amp;$B304&amp;"|"&amp;$C304)</f>
        <v/>
      </c>
      <c r="R304" s="59" t="n"/>
      <c r="S304" s="60" t="n"/>
    </row>
  </sheetData>
  <conditionalFormatting sqref="J5:L304">
    <cfRule type="cellIs" rank="0" priority="2" equalAverage="0" operator="equal" aboveAverage="0" dxfId="0" text="" percent="0" bottom="0">
      <formula>"RED"</formula>
    </cfRule>
    <cfRule type="cellIs" rank="0" priority="3" equalAverage="0" operator="equal" aboveAverage="0" dxfId="1" text="" percent="0" bottom="0">
      <formula>"YELLOW"</formula>
    </cfRule>
    <cfRule type="cellIs" rank="0" priority="4" equalAverage="0" operator="equal" aboveAverage="0" dxfId="2" text="" percent="0" bottom="0">
      <formula>"GREEN"</formula>
    </cfRule>
    <cfRule type="cellIs" rank="0" priority="5" equalAverage="0" operator="equal" aboveAverage="0" dxfId="2" text="" percent="0" bottom="0">
      <formula>"CLEARED"</formula>
    </cfRule>
    <cfRule type="cellIs" rank="0" priority="6" equalAverage="0" operator="equal" aboveAverage="0" dxfId="2" text="" percent="0" bottom="0">
      <formula>"YES"</formula>
    </cfRule>
    <cfRule type="cellIs" rank="0" priority="7" equalAverage="0" operator="equal" aboveAverage="0" dxfId="0" text="" percent="0" bottom="0">
      <formula>"NO"</formula>
    </cfRule>
    <cfRule type="cellIs" rank="0" priority="8" equalAverage="0" operator="equal" aboveAverage="0" dxfId="3" text="" percent="0" bottom="0">
      <formula>"INCOMPLETE"</formula>
    </cfRule>
    <cfRule type="cellIs" rank="0" priority="9" equalAverage="0" operator="equal" aboveAverage="0" dxfId="3" text="" percent="0" bottom="0">
      <formula>"NO DATA"</formula>
    </cfRule>
  </conditionalFormatting>
  <dataValidations count="1">
    <dataValidation sqref="H5:H304" showDropDown="0" showInputMessage="0" showErrorMessage="0" allowBlank="1" type="list" errorStyle="stop" operator="between">
      <formula1>"Fully Compliant,Partially Compliant,Non-Compliant,Alternative Offer,Not Stated"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1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33" min="1" max="1"/>
    <col width="16" customWidth="1" style="33" min="2" max="2"/>
    <col width="6" customWidth="1" style="33" min="3" max="4"/>
    <col width="36" customWidth="1" style="33" min="5" max="6"/>
    <col width="11" customWidth="1" style="33" min="7" max="7"/>
    <col width="22" customWidth="1" style="33" min="8" max="8"/>
    <col width="13" customWidth="1" style="33" min="9" max="9"/>
    <col width="40" customWidth="1" style="33" min="10" max="10"/>
  </cols>
  <sheetData>
    <row r="1" ht="17.35" customHeight="1" s="34">
      <c r="A1" s="35" t="inlineStr">
        <is>
          <t>Deviation &amp; Exception Register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</row>
    <row r="2" ht="15" customHeight="1" s="34">
      <c r="A2" s="37" t="inlineStr">
        <is>
          <t>Only Decision = Accepted with an Approver clears a line on Submissions. None logged yet.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</row>
    <row r="3" ht="15" customHeight="1" s="34">
      <c r="A3" s="36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</row>
    <row r="4" ht="30" customHeight="1" s="34">
      <c r="A4" s="48" t="inlineStr">
        <is>
          <t>Ref</t>
        </is>
      </c>
      <c r="B4" s="48" t="inlineStr">
        <is>
          <t>Supplier</t>
        </is>
      </c>
      <c r="C4" s="48" t="inlineStr">
        <is>
          <t>Rev</t>
        </is>
      </c>
      <c r="D4" s="48" t="inlineStr">
        <is>
          <t>Line</t>
        </is>
      </c>
      <c r="E4" s="48" t="inlineStr">
        <is>
          <t>Parameter</t>
        </is>
      </c>
      <c r="F4" s="48" t="inlineStr">
        <is>
          <t>Deviation (required vs offered)</t>
        </is>
      </c>
      <c r="G4" s="48" t="inlineStr">
        <is>
          <t>Decision</t>
        </is>
      </c>
      <c r="H4" s="48" t="inlineStr">
        <is>
          <t>Approver</t>
        </is>
      </c>
      <c r="I4" s="48" t="inlineStr">
        <is>
          <t>Date</t>
        </is>
      </c>
      <c r="J4" s="48" t="inlineStr">
        <is>
          <t>Justification</t>
        </is>
      </c>
    </row>
    <row r="5" ht="15" customHeight="1" s="34">
      <c r="A5" s="54" t="n"/>
      <c r="B5" s="54" t="n"/>
      <c r="C5" s="54" t="n"/>
      <c r="D5" s="54" t="n"/>
      <c r="E5" s="61">
        <f>IF($D5="","",IFERROR(INDEX(Baseline!$B$20:$B$49,MATCH($D5,Baseline!$A$20:$A$49,0)),""))</f>
        <v/>
      </c>
      <c r="F5" s="54" t="n"/>
      <c r="G5" s="54" t="n"/>
      <c r="H5" s="54" t="n"/>
      <c r="I5" s="62" t="n"/>
      <c r="J5" s="54" t="n"/>
    </row>
    <row r="6" ht="15" customHeight="1" s="34">
      <c r="A6" s="54" t="n"/>
      <c r="B6" s="54" t="n"/>
      <c r="C6" s="54" t="n"/>
      <c r="D6" s="54" t="n"/>
      <c r="E6" s="61">
        <f>IF($D6="","",IFERROR(INDEX(Baseline!$B$20:$B$49,MATCH($D6,Baseline!$A$20:$A$49,0)),""))</f>
        <v/>
      </c>
      <c r="F6" s="54" t="n"/>
      <c r="G6" s="54" t="n"/>
      <c r="H6" s="54" t="n"/>
      <c r="I6" s="62" t="n"/>
      <c r="J6" s="54" t="n"/>
    </row>
    <row r="7" ht="15" customHeight="1" s="34">
      <c r="A7" s="54" t="n"/>
      <c r="B7" s="54" t="n"/>
      <c r="C7" s="54" t="n"/>
      <c r="D7" s="54" t="n"/>
      <c r="E7" s="61">
        <f>IF($D7="","",IFERROR(INDEX(Baseline!$B$20:$B$49,MATCH($D7,Baseline!$A$20:$A$49,0)),""))</f>
        <v/>
      </c>
      <c r="F7" s="54" t="n"/>
      <c r="G7" s="54" t="n"/>
      <c r="H7" s="54" t="n"/>
      <c r="I7" s="62" t="n"/>
      <c r="J7" s="54" t="n"/>
    </row>
    <row r="8" ht="15" customHeight="1" s="34">
      <c r="A8" s="54" t="n"/>
      <c r="B8" s="54" t="n"/>
      <c r="C8" s="54" t="n"/>
      <c r="D8" s="54" t="n"/>
      <c r="E8" s="61">
        <f>IF($D8="","",IFERROR(INDEX(Baseline!$B$20:$B$49,MATCH($D8,Baseline!$A$20:$A$49,0)),""))</f>
        <v/>
      </c>
      <c r="F8" s="54" t="n"/>
      <c r="G8" s="54" t="n"/>
      <c r="H8" s="54" t="n"/>
      <c r="I8" s="62" t="n"/>
      <c r="J8" s="54" t="n"/>
    </row>
    <row r="9" ht="15" customHeight="1" s="34">
      <c r="A9" s="54" t="n"/>
      <c r="B9" s="54" t="n"/>
      <c r="C9" s="54" t="n"/>
      <c r="D9" s="54" t="n"/>
      <c r="E9" s="61">
        <f>IF($D9="","",IFERROR(INDEX(Baseline!$B$20:$B$49,MATCH($D9,Baseline!$A$20:$A$49,0)),""))</f>
        <v/>
      </c>
      <c r="F9" s="54" t="n"/>
      <c r="G9" s="54" t="n"/>
      <c r="H9" s="54" t="n"/>
      <c r="I9" s="62" t="n"/>
      <c r="J9" s="54" t="n"/>
    </row>
    <row r="10" ht="15" customHeight="1" s="34">
      <c r="A10" s="54" t="n"/>
      <c r="B10" s="54" t="n"/>
      <c r="C10" s="54" t="n"/>
      <c r="D10" s="54" t="n"/>
      <c r="E10" s="61">
        <f>IF($D10="","",IFERROR(INDEX(Baseline!$B$20:$B$49,MATCH($D10,Baseline!$A$20:$A$49,0)),""))</f>
        <v/>
      </c>
      <c r="F10" s="54" t="n"/>
      <c r="G10" s="54" t="n"/>
      <c r="H10" s="54" t="n"/>
      <c r="I10" s="62" t="n"/>
      <c r="J10" s="54" t="n"/>
    </row>
    <row r="11" ht="15" customHeight="1" s="34">
      <c r="A11" s="54" t="n"/>
      <c r="B11" s="54" t="n"/>
      <c r="C11" s="54" t="n"/>
      <c r="D11" s="54" t="n"/>
      <c r="E11" s="61">
        <f>IF($D11="","",IFERROR(INDEX(Baseline!$B$20:$B$49,MATCH($D11,Baseline!$A$20:$A$49,0)),""))</f>
        <v/>
      </c>
      <c r="F11" s="54" t="n"/>
      <c r="G11" s="54" t="n"/>
      <c r="H11" s="54" t="n"/>
      <c r="I11" s="62" t="n"/>
      <c r="J11" s="54" t="n"/>
    </row>
    <row r="12" ht="15" customHeight="1" s="34">
      <c r="A12" s="54" t="n"/>
      <c r="B12" s="54" t="n"/>
      <c r="C12" s="54" t="n"/>
      <c r="D12" s="54" t="n"/>
      <c r="E12" s="61">
        <f>IF($D12="","",IFERROR(INDEX(Baseline!$B$20:$B$49,MATCH($D12,Baseline!$A$20:$A$49,0)),""))</f>
        <v/>
      </c>
      <c r="F12" s="54" t="n"/>
      <c r="G12" s="54" t="n"/>
      <c r="H12" s="54" t="n"/>
      <c r="I12" s="62" t="n"/>
      <c r="J12" s="54" t="n"/>
    </row>
    <row r="13" ht="15" customHeight="1" s="34">
      <c r="A13" s="54" t="n"/>
      <c r="B13" s="54" t="n"/>
      <c r="C13" s="54" t="n"/>
      <c r="D13" s="54" t="n"/>
      <c r="E13" s="61">
        <f>IF($D13="","",IFERROR(INDEX(Baseline!$B$20:$B$49,MATCH($D13,Baseline!$A$20:$A$49,0)),""))</f>
        <v/>
      </c>
      <c r="F13" s="54" t="n"/>
      <c r="G13" s="54" t="n"/>
      <c r="H13" s="54" t="n"/>
      <c r="I13" s="62" t="n"/>
      <c r="J13" s="54" t="n"/>
    </row>
    <row r="14" ht="15" customHeight="1" s="34">
      <c r="A14" s="54" t="n"/>
      <c r="B14" s="54" t="n"/>
      <c r="C14" s="54" t="n"/>
      <c r="D14" s="54" t="n"/>
      <c r="E14" s="61">
        <f>IF($D14="","",IFERROR(INDEX(Baseline!$B$20:$B$49,MATCH($D14,Baseline!$A$20:$A$49,0)),""))</f>
        <v/>
      </c>
      <c r="F14" s="54" t="n"/>
      <c r="G14" s="54" t="n"/>
      <c r="H14" s="54" t="n"/>
      <c r="I14" s="62" t="n"/>
      <c r="J14" s="54" t="n"/>
    </row>
    <row r="15" ht="15" customHeight="1" s="34">
      <c r="A15" s="54" t="n"/>
      <c r="B15" s="54" t="n"/>
      <c r="C15" s="54" t="n"/>
      <c r="D15" s="54" t="n"/>
      <c r="E15" s="61">
        <f>IF($D15="","",IFERROR(INDEX(Baseline!$B$20:$B$49,MATCH($D15,Baseline!$A$20:$A$49,0)),""))</f>
        <v/>
      </c>
      <c r="F15" s="54" t="n"/>
      <c r="G15" s="54" t="n"/>
      <c r="H15" s="54" t="n"/>
      <c r="I15" s="62" t="n"/>
      <c r="J15" s="54" t="n"/>
    </row>
    <row r="16" ht="15" customHeight="1" s="34">
      <c r="A16" s="54" t="n"/>
      <c r="B16" s="54" t="n"/>
      <c r="C16" s="54" t="n"/>
      <c r="D16" s="54" t="n"/>
      <c r="E16" s="61">
        <f>IF($D16="","",IFERROR(INDEX(Baseline!$B$20:$B$49,MATCH($D16,Baseline!$A$20:$A$49,0)),""))</f>
        <v/>
      </c>
      <c r="F16" s="54" t="n"/>
      <c r="G16" s="54" t="n"/>
      <c r="H16" s="54" t="n"/>
      <c r="I16" s="62" t="n"/>
      <c r="J16" s="54" t="n"/>
    </row>
    <row r="17" ht="15" customHeight="1" s="34">
      <c r="A17" s="54" t="n"/>
      <c r="B17" s="54" t="n"/>
      <c r="C17" s="54" t="n"/>
      <c r="D17" s="54" t="n"/>
      <c r="E17" s="61">
        <f>IF($D17="","",IFERROR(INDEX(Baseline!$B$20:$B$49,MATCH($D17,Baseline!$A$20:$A$49,0)),""))</f>
        <v/>
      </c>
      <c r="F17" s="54" t="n"/>
      <c r="G17" s="54" t="n"/>
      <c r="H17" s="54" t="n"/>
      <c r="I17" s="62" t="n"/>
      <c r="J17" s="54" t="n"/>
    </row>
    <row r="18" ht="15" customHeight="1" s="34">
      <c r="A18" s="54" t="n"/>
      <c r="B18" s="54" t="n"/>
      <c r="C18" s="54" t="n"/>
      <c r="D18" s="54" t="n"/>
      <c r="E18" s="61">
        <f>IF($D18="","",IFERROR(INDEX(Baseline!$B$20:$B$49,MATCH($D18,Baseline!$A$20:$A$49,0)),""))</f>
        <v/>
      </c>
      <c r="F18" s="54" t="n"/>
      <c r="G18" s="54" t="n"/>
      <c r="H18" s="54" t="n"/>
      <c r="I18" s="62" t="n"/>
      <c r="J18" s="54" t="n"/>
    </row>
    <row r="19" ht="15" customHeight="1" s="34">
      <c r="A19" s="54" t="n"/>
      <c r="B19" s="54" t="n"/>
      <c r="C19" s="54" t="n"/>
      <c r="D19" s="54" t="n"/>
      <c r="E19" s="61">
        <f>IF($D19="","",IFERROR(INDEX(Baseline!$B$20:$B$49,MATCH($D19,Baseline!$A$20:$A$49,0)),""))</f>
        <v/>
      </c>
      <c r="F19" s="54" t="n"/>
      <c r="G19" s="54" t="n"/>
      <c r="H19" s="54" t="n"/>
      <c r="I19" s="62" t="n"/>
      <c r="J19" s="54" t="n"/>
    </row>
    <row r="20" ht="15" customHeight="1" s="34">
      <c r="A20" s="54" t="n"/>
      <c r="B20" s="54" t="n"/>
      <c r="C20" s="54" t="n"/>
      <c r="D20" s="54" t="n"/>
      <c r="E20" s="61">
        <f>IF($D20="","",IFERROR(INDEX(Baseline!$B$20:$B$49,MATCH($D20,Baseline!$A$20:$A$49,0)),""))</f>
        <v/>
      </c>
      <c r="F20" s="54" t="n"/>
      <c r="G20" s="54" t="n"/>
      <c r="H20" s="54" t="n"/>
      <c r="I20" s="62" t="n"/>
      <c r="J20" s="54" t="n"/>
    </row>
    <row r="21" ht="15" customHeight="1" s="34">
      <c r="A21" s="54" t="n"/>
      <c r="B21" s="54" t="n"/>
      <c r="C21" s="54" t="n"/>
      <c r="D21" s="54" t="n"/>
      <c r="E21" s="61">
        <f>IF($D21="","",IFERROR(INDEX(Baseline!$B$20:$B$49,MATCH($D21,Baseline!$A$20:$A$49,0)),""))</f>
        <v/>
      </c>
      <c r="F21" s="54" t="n"/>
      <c r="G21" s="54" t="n"/>
      <c r="H21" s="54" t="n"/>
      <c r="I21" s="62" t="n"/>
      <c r="J21" s="54" t="n"/>
    </row>
    <row r="22" ht="15" customHeight="1" s="34">
      <c r="A22" s="54" t="n"/>
      <c r="B22" s="54" t="n"/>
      <c r="C22" s="54" t="n"/>
      <c r="D22" s="54" t="n"/>
      <c r="E22" s="61">
        <f>IF($D22="","",IFERROR(INDEX(Baseline!$B$20:$B$49,MATCH($D22,Baseline!$A$20:$A$49,0)),""))</f>
        <v/>
      </c>
      <c r="F22" s="54" t="n"/>
      <c r="G22" s="54" t="n"/>
      <c r="H22" s="54" t="n"/>
      <c r="I22" s="62" t="n"/>
      <c r="J22" s="54" t="n"/>
    </row>
    <row r="23" ht="15" customHeight="1" s="34">
      <c r="A23" s="54" t="n"/>
      <c r="B23" s="54" t="n"/>
      <c r="C23" s="54" t="n"/>
      <c r="D23" s="54" t="n"/>
      <c r="E23" s="61">
        <f>IF($D23="","",IFERROR(INDEX(Baseline!$B$20:$B$49,MATCH($D23,Baseline!$A$20:$A$49,0)),""))</f>
        <v/>
      </c>
      <c r="F23" s="54" t="n"/>
      <c r="G23" s="54" t="n"/>
      <c r="H23" s="54" t="n"/>
      <c r="I23" s="62" t="n"/>
      <c r="J23" s="54" t="n"/>
    </row>
    <row r="24" ht="15" customHeight="1" s="34">
      <c r="A24" s="54" t="n"/>
      <c r="B24" s="54" t="n"/>
      <c r="C24" s="54" t="n"/>
      <c r="D24" s="54" t="n"/>
      <c r="E24" s="61">
        <f>IF($D24="","",IFERROR(INDEX(Baseline!$B$20:$B$49,MATCH($D24,Baseline!$A$20:$A$49,0)),""))</f>
        <v/>
      </c>
      <c r="F24" s="54" t="n"/>
      <c r="G24" s="54" t="n"/>
      <c r="H24" s="54" t="n"/>
      <c r="I24" s="62" t="n"/>
      <c r="J24" s="54" t="n"/>
    </row>
    <row r="25" ht="15" customHeight="1" s="34">
      <c r="A25" s="54" t="n"/>
      <c r="B25" s="54" t="n"/>
      <c r="C25" s="54" t="n"/>
      <c r="D25" s="54" t="n"/>
      <c r="E25" s="61">
        <f>IF($D25="","",IFERROR(INDEX(Baseline!$B$20:$B$49,MATCH($D25,Baseline!$A$20:$A$49,0)),""))</f>
        <v/>
      </c>
      <c r="F25" s="54" t="n"/>
      <c r="G25" s="54" t="n"/>
      <c r="H25" s="54" t="n"/>
      <c r="I25" s="62" t="n"/>
      <c r="J25" s="54" t="n"/>
    </row>
    <row r="26" ht="15" customHeight="1" s="34">
      <c r="A26" s="54" t="n"/>
      <c r="B26" s="54" t="n"/>
      <c r="C26" s="54" t="n"/>
      <c r="D26" s="54" t="n"/>
      <c r="E26" s="61">
        <f>IF($D26="","",IFERROR(INDEX(Baseline!$B$20:$B$49,MATCH($D26,Baseline!$A$20:$A$49,0)),""))</f>
        <v/>
      </c>
      <c r="F26" s="54" t="n"/>
      <c r="G26" s="54" t="n"/>
      <c r="H26" s="54" t="n"/>
      <c r="I26" s="62" t="n"/>
      <c r="J26" s="54" t="n"/>
    </row>
    <row r="27" ht="15" customHeight="1" s="34">
      <c r="A27" s="54" t="n"/>
      <c r="B27" s="54" t="n"/>
      <c r="C27" s="54" t="n"/>
      <c r="D27" s="54" t="n"/>
      <c r="E27" s="61">
        <f>IF($D27="","",IFERROR(INDEX(Baseline!$B$20:$B$49,MATCH($D27,Baseline!$A$20:$A$49,0)),""))</f>
        <v/>
      </c>
      <c r="F27" s="54" t="n"/>
      <c r="G27" s="54" t="n"/>
      <c r="H27" s="54" t="n"/>
      <c r="I27" s="62" t="n"/>
      <c r="J27" s="54" t="n"/>
    </row>
    <row r="28" ht="15" customHeight="1" s="34">
      <c r="A28" s="54" t="n"/>
      <c r="B28" s="54" t="n"/>
      <c r="C28" s="54" t="n"/>
      <c r="D28" s="54" t="n"/>
      <c r="E28" s="61">
        <f>IF($D28="","",IFERROR(INDEX(Baseline!$B$20:$B$49,MATCH($D28,Baseline!$A$20:$A$49,0)),""))</f>
        <v/>
      </c>
      <c r="F28" s="54" t="n"/>
      <c r="G28" s="54" t="n"/>
      <c r="H28" s="54" t="n"/>
      <c r="I28" s="62" t="n"/>
      <c r="J28" s="54" t="n"/>
    </row>
    <row r="29" ht="15" customHeight="1" s="34">
      <c r="A29" s="54" t="n"/>
      <c r="B29" s="54" t="n"/>
      <c r="C29" s="54" t="n"/>
      <c r="D29" s="54" t="n"/>
      <c r="E29" s="61">
        <f>IF($D29="","",IFERROR(INDEX(Baseline!$B$20:$B$49,MATCH($D29,Baseline!$A$20:$A$49,0)),""))</f>
        <v/>
      </c>
      <c r="F29" s="54" t="n"/>
      <c r="G29" s="54" t="n"/>
      <c r="H29" s="54" t="n"/>
      <c r="I29" s="62" t="n"/>
      <c r="J29" s="54" t="n"/>
    </row>
    <row r="30" ht="15" customHeight="1" s="34">
      <c r="A30" s="54" t="n"/>
      <c r="B30" s="54" t="n"/>
      <c r="C30" s="54" t="n"/>
      <c r="D30" s="54" t="n"/>
      <c r="E30" s="61">
        <f>IF($D30="","",IFERROR(INDEX(Baseline!$B$20:$B$49,MATCH($D30,Baseline!$A$20:$A$49,0)),""))</f>
        <v/>
      </c>
      <c r="F30" s="54" t="n"/>
      <c r="G30" s="54" t="n"/>
      <c r="H30" s="54" t="n"/>
      <c r="I30" s="62" t="n"/>
      <c r="J30" s="54" t="n"/>
    </row>
    <row r="31" ht="15" customHeight="1" s="34">
      <c r="A31" s="54" t="n"/>
      <c r="B31" s="54" t="n"/>
      <c r="C31" s="54" t="n"/>
      <c r="D31" s="54" t="n"/>
      <c r="E31" s="61">
        <f>IF($D31="","",IFERROR(INDEX(Baseline!$B$20:$B$49,MATCH($D31,Baseline!$A$20:$A$49,0)),""))</f>
        <v/>
      </c>
      <c r="F31" s="54" t="n"/>
      <c r="G31" s="54" t="n"/>
      <c r="H31" s="54" t="n"/>
      <c r="I31" s="62" t="n"/>
      <c r="J31" s="54" t="n"/>
    </row>
    <row r="32" ht="15" customHeight="1" s="34">
      <c r="A32" s="54" t="n"/>
      <c r="B32" s="54" t="n"/>
      <c r="C32" s="54" t="n"/>
      <c r="D32" s="54" t="n"/>
      <c r="E32" s="61">
        <f>IF($D32="","",IFERROR(INDEX(Baseline!$B$20:$B$49,MATCH($D32,Baseline!$A$20:$A$49,0)),""))</f>
        <v/>
      </c>
      <c r="F32" s="54" t="n"/>
      <c r="G32" s="54" t="n"/>
      <c r="H32" s="54" t="n"/>
      <c r="I32" s="62" t="n"/>
      <c r="J32" s="54" t="n"/>
    </row>
    <row r="33" ht="15" customHeight="1" s="34">
      <c r="A33" s="54" t="n"/>
      <c r="B33" s="54" t="n"/>
      <c r="C33" s="54" t="n"/>
      <c r="D33" s="54" t="n"/>
      <c r="E33" s="61">
        <f>IF($D33="","",IFERROR(INDEX(Baseline!$B$20:$B$49,MATCH($D33,Baseline!$A$20:$A$49,0)),""))</f>
        <v/>
      </c>
      <c r="F33" s="54" t="n"/>
      <c r="G33" s="54" t="n"/>
      <c r="H33" s="54" t="n"/>
      <c r="I33" s="62" t="n"/>
      <c r="J33" s="54" t="n"/>
    </row>
    <row r="34" ht="15" customHeight="1" s="34">
      <c r="A34" s="54" t="n"/>
      <c r="B34" s="54" t="n"/>
      <c r="C34" s="54" t="n"/>
      <c r="D34" s="54" t="n"/>
      <c r="E34" s="61">
        <f>IF($D34="","",IFERROR(INDEX(Baseline!$B$20:$B$49,MATCH($D34,Baseline!$A$20:$A$49,0)),""))</f>
        <v/>
      </c>
      <c r="F34" s="54" t="n"/>
      <c r="G34" s="54" t="n"/>
      <c r="H34" s="54" t="n"/>
      <c r="I34" s="62" t="n"/>
      <c r="J34" s="54" t="n"/>
    </row>
    <row r="35" ht="15" customHeight="1" s="34">
      <c r="A35" s="54" t="n"/>
      <c r="B35" s="54" t="n"/>
      <c r="C35" s="54" t="n"/>
      <c r="D35" s="54" t="n"/>
      <c r="E35" s="61">
        <f>IF($D35="","",IFERROR(INDEX(Baseline!$B$20:$B$49,MATCH($D35,Baseline!$A$20:$A$49,0)),""))</f>
        <v/>
      </c>
      <c r="F35" s="54" t="n"/>
      <c r="G35" s="54" t="n"/>
      <c r="H35" s="54" t="n"/>
      <c r="I35" s="62" t="n"/>
      <c r="J35" s="54" t="n"/>
    </row>
    <row r="36" ht="15" customHeight="1" s="34">
      <c r="A36" s="54" t="n"/>
      <c r="B36" s="54" t="n"/>
      <c r="C36" s="54" t="n"/>
      <c r="D36" s="54" t="n"/>
      <c r="E36" s="61">
        <f>IF($D36="","",IFERROR(INDEX(Baseline!$B$20:$B$49,MATCH($D36,Baseline!$A$20:$A$49,0)),""))</f>
        <v/>
      </c>
      <c r="F36" s="54" t="n"/>
      <c r="G36" s="54" t="n"/>
      <c r="H36" s="54" t="n"/>
      <c r="I36" s="62" t="n"/>
      <c r="J36" s="54" t="n"/>
    </row>
    <row r="37" ht="15" customHeight="1" s="34">
      <c r="A37" s="54" t="n"/>
      <c r="B37" s="54" t="n"/>
      <c r="C37" s="54" t="n"/>
      <c r="D37" s="54" t="n"/>
      <c r="E37" s="61">
        <f>IF($D37="","",IFERROR(INDEX(Baseline!$B$20:$B$49,MATCH($D37,Baseline!$A$20:$A$49,0)),""))</f>
        <v/>
      </c>
      <c r="F37" s="54" t="n"/>
      <c r="G37" s="54" t="n"/>
      <c r="H37" s="54" t="n"/>
      <c r="I37" s="62" t="n"/>
      <c r="J37" s="54" t="n"/>
    </row>
    <row r="38" ht="15" customHeight="1" s="34">
      <c r="A38" s="54" t="n"/>
      <c r="B38" s="54" t="n"/>
      <c r="C38" s="54" t="n"/>
      <c r="D38" s="54" t="n"/>
      <c r="E38" s="61">
        <f>IF($D38="","",IFERROR(INDEX(Baseline!$B$20:$B$49,MATCH($D38,Baseline!$A$20:$A$49,0)),""))</f>
        <v/>
      </c>
      <c r="F38" s="54" t="n"/>
      <c r="G38" s="54" t="n"/>
      <c r="H38" s="54" t="n"/>
      <c r="I38" s="62" t="n"/>
      <c r="J38" s="54" t="n"/>
    </row>
    <row r="39" ht="15" customHeight="1" s="34">
      <c r="A39" s="54" t="n"/>
      <c r="B39" s="54" t="n"/>
      <c r="C39" s="54" t="n"/>
      <c r="D39" s="54" t="n"/>
      <c r="E39" s="61">
        <f>IF($D39="","",IFERROR(INDEX(Baseline!$B$20:$B$49,MATCH($D39,Baseline!$A$20:$A$49,0)),""))</f>
        <v/>
      </c>
      <c r="F39" s="54" t="n"/>
      <c r="G39" s="54" t="n"/>
      <c r="H39" s="54" t="n"/>
      <c r="I39" s="62" t="n"/>
      <c r="J39" s="54" t="n"/>
    </row>
    <row r="40" ht="15" customHeight="1" s="34">
      <c r="A40" s="54" t="n"/>
      <c r="B40" s="54" t="n"/>
      <c r="C40" s="54" t="n"/>
      <c r="D40" s="54" t="n"/>
      <c r="E40" s="61">
        <f>IF($D40="","",IFERROR(INDEX(Baseline!$B$20:$B$49,MATCH($D40,Baseline!$A$20:$A$49,0)),""))</f>
        <v/>
      </c>
      <c r="F40" s="54" t="n"/>
      <c r="G40" s="54" t="n"/>
      <c r="H40" s="54" t="n"/>
      <c r="I40" s="62" t="n"/>
      <c r="J40" s="54" t="n"/>
    </row>
    <row r="41" ht="15" customHeight="1" s="34">
      <c r="A41" s="54" t="n"/>
      <c r="B41" s="54" t="n"/>
      <c r="C41" s="54" t="n"/>
      <c r="D41" s="54" t="n"/>
      <c r="E41" s="61">
        <f>IF($D41="","",IFERROR(INDEX(Baseline!$B$20:$B$49,MATCH($D41,Baseline!$A$20:$A$49,0)),""))</f>
        <v/>
      </c>
      <c r="F41" s="54" t="n"/>
      <c r="G41" s="54" t="n"/>
      <c r="H41" s="54" t="n"/>
      <c r="I41" s="62" t="n"/>
      <c r="J41" s="54" t="n"/>
    </row>
    <row r="42" ht="15" customHeight="1" s="34">
      <c r="A42" s="54" t="n"/>
      <c r="B42" s="54" t="n"/>
      <c r="C42" s="54" t="n"/>
      <c r="D42" s="54" t="n"/>
      <c r="E42" s="61">
        <f>IF($D42="","",IFERROR(INDEX(Baseline!$B$20:$B$49,MATCH($D42,Baseline!$A$20:$A$49,0)),""))</f>
        <v/>
      </c>
      <c r="F42" s="54" t="n"/>
      <c r="G42" s="54" t="n"/>
      <c r="H42" s="54" t="n"/>
      <c r="I42" s="62" t="n"/>
      <c r="J42" s="54" t="n"/>
    </row>
    <row r="43" ht="15" customHeight="1" s="34">
      <c r="A43" s="54" t="n"/>
      <c r="B43" s="54" t="n"/>
      <c r="C43" s="54" t="n"/>
      <c r="D43" s="54" t="n"/>
      <c r="E43" s="61">
        <f>IF($D43="","",IFERROR(INDEX(Baseline!$B$20:$B$49,MATCH($D43,Baseline!$A$20:$A$49,0)),""))</f>
        <v/>
      </c>
      <c r="F43" s="54" t="n"/>
      <c r="G43" s="54" t="n"/>
      <c r="H43" s="54" t="n"/>
      <c r="I43" s="62" t="n"/>
      <c r="J43" s="54" t="n"/>
    </row>
    <row r="44" ht="15" customHeight="1" s="34">
      <c r="A44" s="54" t="n"/>
      <c r="B44" s="54" t="n"/>
      <c r="C44" s="54" t="n"/>
      <c r="D44" s="54" t="n"/>
      <c r="E44" s="61">
        <f>IF($D44="","",IFERROR(INDEX(Baseline!$B$20:$B$49,MATCH($D44,Baseline!$A$20:$A$49,0)),""))</f>
        <v/>
      </c>
      <c r="F44" s="54" t="n"/>
      <c r="G44" s="54" t="n"/>
      <c r="H44" s="54" t="n"/>
      <c r="I44" s="62" t="n"/>
      <c r="J44" s="54" t="n"/>
    </row>
    <row r="45" ht="15" customHeight="1" s="34">
      <c r="A45" s="54" t="n"/>
      <c r="B45" s="54" t="n"/>
      <c r="C45" s="54" t="n"/>
      <c r="D45" s="54" t="n"/>
      <c r="E45" s="61">
        <f>IF($D45="","",IFERROR(INDEX(Baseline!$B$20:$B$49,MATCH($D45,Baseline!$A$20:$A$49,0)),""))</f>
        <v/>
      </c>
      <c r="F45" s="54" t="n"/>
      <c r="G45" s="54" t="n"/>
      <c r="H45" s="54" t="n"/>
      <c r="I45" s="62" t="n"/>
      <c r="J45" s="54" t="n"/>
    </row>
    <row r="46" ht="15" customHeight="1" s="34">
      <c r="A46" s="54" t="n"/>
      <c r="B46" s="54" t="n"/>
      <c r="C46" s="54" t="n"/>
      <c r="D46" s="54" t="n"/>
      <c r="E46" s="61">
        <f>IF($D46="","",IFERROR(INDEX(Baseline!$B$20:$B$49,MATCH($D46,Baseline!$A$20:$A$49,0)),""))</f>
        <v/>
      </c>
      <c r="F46" s="54" t="n"/>
      <c r="G46" s="54" t="n"/>
      <c r="H46" s="54" t="n"/>
      <c r="I46" s="62" t="n"/>
      <c r="J46" s="54" t="n"/>
    </row>
    <row r="47" ht="15" customHeight="1" s="34">
      <c r="A47" s="54" t="n"/>
      <c r="B47" s="54" t="n"/>
      <c r="C47" s="54" t="n"/>
      <c r="D47" s="54" t="n"/>
      <c r="E47" s="61">
        <f>IF($D47="","",IFERROR(INDEX(Baseline!$B$20:$B$49,MATCH($D47,Baseline!$A$20:$A$49,0)),""))</f>
        <v/>
      </c>
      <c r="F47" s="54" t="n"/>
      <c r="G47" s="54" t="n"/>
      <c r="H47" s="54" t="n"/>
      <c r="I47" s="62" t="n"/>
      <c r="J47" s="54" t="n"/>
    </row>
    <row r="48" ht="15" customHeight="1" s="34">
      <c r="A48" s="54" t="n"/>
      <c r="B48" s="54" t="n"/>
      <c r="C48" s="54" t="n"/>
      <c r="D48" s="54" t="n"/>
      <c r="E48" s="61">
        <f>IF($D48="","",IFERROR(INDEX(Baseline!$B$20:$B$49,MATCH($D48,Baseline!$A$20:$A$49,0)),""))</f>
        <v/>
      </c>
      <c r="F48" s="54" t="n"/>
      <c r="G48" s="54" t="n"/>
      <c r="H48" s="54" t="n"/>
      <c r="I48" s="62" t="n"/>
      <c r="J48" s="54" t="n"/>
    </row>
    <row r="49" ht="15" customHeight="1" s="34">
      <c r="A49" s="54" t="n"/>
      <c r="B49" s="54" t="n"/>
      <c r="C49" s="54" t="n"/>
      <c r="D49" s="54" t="n"/>
      <c r="E49" s="61">
        <f>IF($D49="","",IFERROR(INDEX(Baseline!$B$20:$B$49,MATCH($D49,Baseline!$A$20:$A$49,0)),""))</f>
        <v/>
      </c>
      <c r="F49" s="54" t="n"/>
      <c r="G49" s="54" t="n"/>
      <c r="H49" s="54" t="n"/>
      <c r="I49" s="62" t="n"/>
      <c r="J49" s="54" t="n"/>
    </row>
    <row r="50" ht="15" customHeight="1" s="34">
      <c r="A50" s="54" t="n"/>
      <c r="B50" s="54" t="n"/>
      <c r="C50" s="54" t="n"/>
      <c r="D50" s="54" t="n"/>
      <c r="E50" s="61">
        <f>IF($D50="","",IFERROR(INDEX(Baseline!$B$20:$B$49,MATCH($D50,Baseline!$A$20:$A$49,0)),""))</f>
        <v/>
      </c>
      <c r="F50" s="54" t="n"/>
      <c r="G50" s="54" t="n"/>
      <c r="H50" s="54" t="n"/>
      <c r="I50" s="62" t="n"/>
      <c r="J50" s="54" t="n"/>
    </row>
    <row r="51" ht="15" customHeight="1" s="34">
      <c r="A51" s="54" t="n"/>
      <c r="B51" s="54" t="n"/>
      <c r="C51" s="54" t="n"/>
      <c r="D51" s="54" t="n"/>
      <c r="E51" s="61">
        <f>IF($D51="","",IFERROR(INDEX(Baseline!$B$20:$B$49,MATCH($D51,Baseline!$A$20:$A$49,0)),""))</f>
        <v/>
      </c>
      <c r="F51" s="54" t="n"/>
      <c r="G51" s="54" t="n"/>
      <c r="H51" s="54" t="n"/>
      <c r="I51" s="62" t="n"/>
      <c r="J51" s="54" t="n"/>
    </row>
    <row r="52" ht="15" customHeight="1" s="34">
      <c r="A52" s="54" t="n"/>
      <c r="B52" s="54" t="n"/>
      <c r="C52" s="54" t="n"/>
      <c r="D52" s="54" t="n"/>
      <c r="E52" s="61">
        <f>IF($D52="","",IFERROR(INDEX(Baseline!$B$20:$B$49,MATCH($D52,Baseline!$A$20:$A$49,0)),""))</f>
        <v/>
      </c>
      <c r="F52" s="54" t="n"/>
      <c r="G52" s="54" t="n"/>
      <c r="H52" s="54" t="n"/>
      <c r="I52" s="62" t="n"/>
      <c r="J52" s="54" t="n"/>
    </row>
    <row r="53" ht="15" customHeight="1" s="34">
      <c r="A53" s="54" t="n"/>
      <c r="B53" s="54" t="n"/>
      <c r="C53" s="54" t="n"/>
      <c r="D53" s="54" t="n"/>
      <c r="E53" s="61">
        <f>IF($D53="","",IFERROR(INDEX(Baseline!$B$20:$B$49,MATCH($D53,Baseline!$A$20:$A$49,0)),""))</f>
        <v/>
      </c>
      <c r="F53" s="54" t="n"/>
      <c r="G53" s="54" t="n"/>
      <c r="H53" s="54" t="n"/>
      <c r="I53" s="62" t="n"/>
      <c r="J53" s="54" t="n"/>
    </row>
    <row r="54" ht="15" customHeight="1" s="34">
      <c r="A54" s="54" t="n"/>
      <c r="B54" s="54" t="n"/>
      <c r="C54" s="54" t="n"/>
      <c r="D54" s="54" t="n"/>
      <c r="E54" s="61">
        <f>IF($D54="","",IFERROR(INDEX(Baseline!$B$20:$B$49,MATCH($D54,Baseline!$A$20:$A$49,0)),""))</f>
        <v/>
      </c>
      <c r="F54" s="54" t="n"/>
      <c r="G54" s="54" t="n"/>
      <c r="H54" s="54" t="n"/>
      <c r="I54" s="62" t="n"/>
      <c r="J54" s="54" t="n"/>
    </row>
    <row r="55" ht="15" customHeight="1" s="34">
      <c r="A55" s="54" t="n"/>
      <c r="B55" s="54" t="n"/>
      <c r="C55" s="54" t="n"/>
      <c r="D55" s="54" t="n"/>
      <c r="E55" s="61">
        <f>IF($D55="","",IFERROR(INDEX(Baseline!$B$20:$B$49,MATCH($D55,Baseline!$A$20:$A$49,0)),""))</f>
        <v/>
      </c>
      <c r="F55" s="54" t="n"/>
      <c r="G55" s="54" t="n"/>
      <c r="H55" s="54" t="n"/>
      <c r="I55" s="62" t="n"/>
      <c r="J55" s="54" t="n"/>
    </row>
    <row r="56" ht="15" customHeight="1" s="34">
      <c r="A56" s="54" t="n"/>
      <c r="B56" s="54" t="n"/>
      <c r="C56" s="54" t="n"/>
      <c r="D56" s="54" t="n"/>
      <c r="E56" s="61">
        <f>IF($D56="","",IFERROR(INDEX(Baseline!$B$20:$B$49,MATCH($D56,Baseline!$A$20:$A$49,0)),""))</f>
        <v/>
      </c>
      <c r="F56" s="54" t="n"/>
      <c r="G56" s="54" t="n"/>
      <c r="H56" s="54" t="n"/>
      <c r="I56" s="62" t="n"/>
      <c r="J56" s="54" t="n"/>
    </row>
    <row r="57" ht="15" customHeight="1" s="34">
      <c r="A57" s="54" t="n"/>
      <c r="B57" s="54" t="n"/>
      <c r="C57" s="54" t="n"/>
      <c r="D57" s="54" t="n"/>
      <c r="E57" s="61">
        <f>IF($D57="","",IFERROR(INDEX(Baseline!$B$20:$B$49,MATCH($D57,Baseline!$A$20:$A$49,0)),""))</f>
        <v/>
      </c>
      <c r="F57" s="54" t="n"/>
      <c r="G57" s="54" t="n"/>
      <c r="H57" s="54" t="n"/>
      <c r="I57" s="62" t="n"/>
      <c r="J57" s="54" t="n"/>
    </row>
    <row r="58" ht="15" customHeight="1" s="34">
      <c r="A58" s="54" t="n"/>
      <c r="B58" s="54" t="n"/>
      <c r="C58" s="54" t="n"/>
      <c r="D58" s="54" t="n"/>
      <c r="E58" s="61">
        <f>IF($D58="","",IFERROR(INDEX(Baseline!$B$20:$B$49,MATCH($D58,Baseline!$A$20:$A$49,0)),""))</f>
        <v/>
      </c>
      <c r="F58" s="54" t="n"/>
      <c r="G58" s="54" t="n"/>
      <c r="H58" s="54" t="n"/>
      <c r="I58" s="62" t="n"/>
      <c r="J58" s="54" t="n"/>
    </row>
    <row r="59" ht="15" customHeight="1" s="34">
      <c r="A59" s="54" t="n"/>
      <c r="B59" s="54" t="n"/>
      <c r="C59" s="54" t="n"/>
      <c r="D59" s="54" t="n"/>
      <c r="E59" s="61">
        <f>IF($D59="","",IFERROR(INDEX(Baseline!$B$20:$B$49,MATCH($D59,Baseline!$A$20:$A$49,0)),""))</f>
        <v/>
      </c>
      <c r="F59" s="54" t="n"/>
      <c r="G59" s="54" t="n"/>
      <c r="H59" s="54" t="n"/>
      <c r="I59" s="62" t="n"/>
      <c r="J59" s="54" t="n"/>
    </row>
    <row r="60" ht="15" customHeight="1" s="34">
      <c r="A60" s="54" t="n"/>
      <c r="B60" s="54" t="n"/>
      <c r="C60" s="54" t="n"/>
      <c r="D60" s="54" t="n"/>
      <c r="E60" s="61">
        <f>IF($D60="","",IFERROR(INDEX(Baseline!$B$20:$B$49,MATCH($D60,Baseline!$A$20:$A$49,0)),""))</f>
        <v/>
      </c>
      <c r="F60" s="54" t="n"/>
      <c r="G60" s="54" t="n"/>
      <c r="H60" s="54" t="n"/>
      <c r="I60" s="62" t="n"/>
      <c r="J60" s="54" t="n"/>
    </row>
    <row r="61" ht="15" customHeight="1" s="34">
      <c r="A61" s="54" t="n"/>
      <c r="B61" s="54" t="n"/>
      <c r="C61" s="54" t="n"/>
      <c r="D61" s="54" t="n"/>
      <c r="E61" s="61">
        <f>IF($D61="","",IFERROR(INDEX(Baseline!$B$20:$B$49,MATCH($D61,Baseline!$A$20:$A$49,0)),""))</f>
        <v/>
      </c>
      <c r="F61" s="54" t="n"/>
      <c r="G61" s="54" t="n"/>
      <c r="H61" s="54" t="n"/>
      <c r="I61" s="62" t="n"/>
      <c r="J61" s="54" t="n"/>
    </row>
    <row r="62" ht="15" customHeight="1" s="34">
      <c r="A62" s="54" t="n"/>
      <c r="B62" s="54" t="n"/>
      <c r="C62" s="54" t="n"/>
      <c r="D62" s="54" t="n"/>
      <c r="E62" s="61">
        <f>IF($D62="","",IFERROR(INDEX(Baseline!$B$20:$B$49,MATCH($D62,Baseline!$A$20:$A$49,0)),""))</f>
        <v/>
      </c>
      <c r="F62" s="54" t="n"/>
      <c r="G62" s="54" t="n"/>
      <c r="H62" s="54" t="n"/>
      <c r="I62" s="62" t="n"/>
      <c r="J62" s="54" t="n"/>
    </row>
    <row r="63" ht="15" customHeight="1" s="34">
      <c r="A63" s="54" t="n"/>
      <c r="B63" s="54" t="n"/>
      <c r="C63" s="54" t="n"/>
      <c r="D63" s="54" t="n"/>
      <c r="E63" s="61">
        <f>IF($D63="","",IFERROR(INDEX(Baseline!$B$20:$B$49,MATCH($D63,Baseline!$A$20:$A$49,0)),""))</f>
        <v/>
      </c>
      <c r="F63" s="54" t="n"/>
      <c r="G63" s="54" t="n"/>
      <c r="H63" s="54" t="n"/>
      <c r="I63" s="62" t="n"/>
      <c r="J63" s="54" t="n"/>
    </row>
    <row r="64" ht="15" customHeight="1" s="34">
      <c r="A64" s="54" t="n"/>
      <c r="B64" s="54" t="n"/>
      <c r="C64" s="54" t="n"/>
      <c r="D64" s="54" t="n"/>
      <c r="E64" s="61">
        <f>IF($D64="","",IFERROR(INDEX(Baseline!$B$20:$B$49,MATCH($D64,Baseline!$A$20:$A$49,0)),""))</f>
        <v/>
      </c>
      <c r="F64" s="54" t="n"/>
      <c r="G64" s="54" t="n"/>
      <c r="H64" s="54" t="n"/>
      <c r="I64" s="62" t="n"/>
      <c r="J64" s="54" t="n"/>
    </row>
    <row r="65" ht="15" customHeight="1" s="34">
      <c r="A65" s="54" t="n"/>
      <c r="B65" s="54" t="n"/>
      <c r="C65" s="54" t="n"/>
      <c r="D65" s="54" t="n"/>
      <c r="E65" s="61">
        <f>IF($D65="","",IFERROR(INDEX(Baseline!$B$20:$B$49,MATCH($D65,Baseline!$A$20:$A$49,0)),""))</f>
        <v/>
      </c>
      <c r="F65" s="54" t="n"/>
      <c r="G65" s="54" t="n"/>
      <c r="H65" s="54" t="n"/>
      <c r="I65" s="62" t="n"/>
      <c r="J65" s="54" t="n"/>
    </row>
    <row r="66" ht="15" customHeight="1" s="34">
      <c r="A66" s="54" t="n"/>
      <c r="B66" s="54" t="n"/>
      <c r="C66" s="54" t="n"/>
      <c r="D66" s="54" t="n"/>
      <c r="E66" s="61">
        <f>IF($D66="","",IFERROR(INDEX(Baseline!$B$20:$B$49,MATCH($D66,Baseline!$A$20:$A$49,0)),""))</f>
        <v/>
      </c>
      <c r="F66" s="54" t="n"/>
      <c r="G66" s="54" t="n"/>
      <c r="H66" s="54" t="n"/>
      <c r="I66" s="62" t="n"/>
      <c r="J66" s="54" t="n"/>
    </row>
    <row r="67" ht="15" customHeight="1" s="34">
      <c r="A67" s="54" t="n"/>
      <c r="B67" s="54" t="n"/>
      <c r="C67" s="54" t="n"/>
      <c r="D67" s="54" t="n"/>
      <c r="E67" s="61">
        <f>IF($D67="","",IFERROR(INDEX(Baseline!$B$20:$B$49,MATCH($D67,Baseline!$A$20:$A$49,0)),""))</f>
        <v/>
      </c>
      <c r="F67" s="54" t="n"/>
      <c r="G67" s="54" t="n"/>
      <c r="H67" s="54" t="n"/>
      <c r="I67" s="62" t="n"/>
      <c r="J67" s="54" t="n"/>
    </row>
    <row r="68" ht="15" customHeight="1" s="34">
      <c r="A68" s="54" t="n"/>
      <c r="B68" s="54" t="n"/>
      <c r="C68" s="54" t="n"/>
      <c r="D68" s="54" t="n"/>
      <c r="E68" s="61">
        <f>IF($D68="","",IFERROR(INDEX(Baseline!$B$20:$B$49,MATCH($D68,Baseline!$A$20:$A$49,0)),""))</f>
        <v/>
      </c>
      <c r="F68" s="54" t="n"/>
      <c r="G68" s="54" t="n"/>
      <c r="H68" s="54" t="n"/>
      <c r="I68" s="62" t="n"/>
      <c r="J68" s="54" t="n"/>
    </row>
    <row r="69" ht="15" customHeight="1" s="34">
      <c r="A69" s="54" t="n"/>
      <c r="B69" s="54" t="n"/>
      <c r="C69" s="54" t="n"/>
      <c r="D69" s="54" t="n"/>
      <c r="E69" s="61">
        <f>IF($D69="","",IFERROR(INDEX(Baseline!$B$20:$B$49,MATCH($D69,Baseline!$A$20:$A$49,0)),""))</f>
        <v/>
      </c>
      <c r="F69" s="54" t="n"/>
      <c r="G69" s="54" t="n"/>
      <c r="H69" s="54" t="n"/>
      <c r="I69" s="62" t="n"/>
      <c r="J69" s="54" t="n"/>
    </row>
    <row r="70" ht="15" customHeight="1" s="34">
      <c r="A70" s="54" t="n"/>
      <c r="B70" s="54" t="n"/>
      <c r="C70" s="54" t="n"/>
      <c r="D70" s="54" t="n"/>
      <c r="E70" s="61">
        <f>IF($D70="","",IFERROR(INDEX(Baseline!$B$20:$B$49,MATCH($D70,Baseline!$A$20:$A$49,0)),""))</f>
        <v/>
      </c>
      <c r="F70" s="54" t="n"/>
      <c r="G70" s="54" t="n"/>
      <c r="H70" s="54" t="n"/>
      <c r="I70" s="62" t="n"/>
      <c r="J70" s="54" t="n"/>
    </row>
    <row r="71" ht="15" customHeight="1" s="34">
      <c r="A71" s="54" t="n"/>
      <c r="B71" s="54" t="n"/>
      <c r="C71" s="54" t="n"/>
      <c r="D71" s="54" t="n"/>
      <c r="E71" s="61">
        <f>IF($D71="","",IFERROR(INDEX(Baseline!$B$20:$B$49,MATCH($D71,Baseline!$A$20:$A$49,0)),""))</f>
        <v/>
      </c>
      <c r="F71" s="54" t="n"/>
      <c r="G71" s="54" t="n"/>
      <c r="H71" s="54" t="n"/>
      <c r="I71" s="62" t="n"/>
      <c r="J71" s="54" t="n"/>
    </row>
    <row r="72" ht="15" customHeight="1" s="34">
      <c r="A72" s="54" t="n"/>
      <c r="B72" s="54" t="n"/>
      <c r="C72" s="54" t="n"/>
      <c r="D72" s="54" t="n"/>
      <c r="E72" s="61">
        <f>IF($D72="","",IFERROR(INDEX(Baseline!$B$20:$B$49,MATCH($D72,Baseline!$A$20:$A$49,0)),""))</f>
        <v/>
      </c>
      <c r="F72" s="54" t="n"/>
      <c r="G72" s="54" t="n"/>
      <c r="H72" s="54" t="n"/>
      <c r="I72" s="62" t="n"/>
      <c r="J72" s="54" t="n"/>
    </row>
    <row r="73" ht="15" customHeight="1" s="34">
      <c r="A73" s="54" t="n"/>
      <c r="B73" s="54" t="n"/>
      <c r="C73" s="54" t="n"/>
      <c r="D73" s="54" t="n"/>
      <c r="E73" s="61">
        <f>IF($D73="","",IFERROR(INDEX(Baseline!$B$20:$B$49,MATCH($D73,Baseline!$A$20:$A$49,0)),""))</f>
        <v/>
      </c>
      <c r="F73" s="54" t="n"/>
      <c r="G73" s="54" t="n"/>
      <c r="H73" s="54" t="n"/>
      <c r="I73" s="62" t="n"/>
      <c r="J73" s="54" t="n"/>
    </row>
    <row r="74" ht="15" customHeight="1" s="34">
      <c r="A74" s="54" t="n"/>
      <c r="B74" s="54" t="n"/>
      <c r="C74" s="54" t="n"/>
      <c r="D74" s="54" t="n"/>
      <c r="E74" s="61">
        <f>IF($D74="","",IFERROR(INDEX(Baseline!$B$20:$B$49,MATCH($D74,Baseline!$A$20:$A$49,0)),""))</f>
        <v/>
      </c>
      <c r="F74" s="54" t="n"/>
      <c r="G74" s="54" t="n"/>
      <c r="H74" s="54" t="n"/>
      <c r="I74" s="62" t="n"/>
      <c r="J74" s="54" t="n"/>
    </row>
    <row r="75" ht="15" customHeight="1" s="34">
      <c r="A75" s="54" t="n"/>
      <c r="B75" s="54" t="n"/>
      <c r="C75" s="54" t="n"/>
      <c r="D75" s="54" t="n"/>
      <c r="E75" s="61">
        <f>IF($D75="","",IFERROR(INDEX(Baseline!$B$20:$B$49,MATCH($D75,Baseline!$A$20:$A$49,0)),""))</f>
        <v/>
      </c>
      <c r="F75" s="54" t="n"/>
      <c r="G75" s="54" t="n"/>
      <c r="H75" s="54" t="n"/>
      <c r="I75" s="62" t="n"/>
      <c r="J75" s="54" t="n"/>
    </row>
    <row r="76" ht="15" customHeight="1" s="34">
      <c r="A76" s="54" t="n"/>
      <c r="B76" s="54" t="n"/>
      <c r="C76" s="54" t="n"/>
      <c r="D76" s="54" t="n"/>
      <c r="E76" s="61">
        <f>IF($D76="","",IFERROR(INDEX(Baseline!$B$20:$B$49,MATCH($D76,Baseline!$A$20:$A$49,0)),""))</f>
        <v/>
      </c>
      <c r="F76" s="54" t="n"/>
      <c r="G76" s="54" t="n"/>
      <c r="H76" s="54" t="n"/>
      <c r="I76" s="62" t="n"/>
      <c r="J76" s="54" t="n"/>
    </row>
    <row r="77" ht="15" customHeight="1" s="34">
      <c r="A77" s="54" t="n"/>
      <c r="B77" s="54" t="n"/>
      <c r="C77" s="54" t="n"/>
      <c r="D77" s="54" t="n"/>
      <c r="E77" s="61">
        <f>IF($D77="","",IFERROR(INDEX(Baseline!$B$20:$B$49,MATCH($D77,Baseline!$A$20:$A$49,0)),""))</f>
        <v/>
      </c>
      <c r="F77" s="54" t="n"/>
      <c r="G77" s="54" t="n"/>
      <c r="H77" s="54" t="n"/>
      <c r="I77" s="62" t="n"/>
      <c r="J77" s="54" t="n"/>
    </row>
    <row r="78" ht="15" customHeight="1" s="34">
      <c r="A78" s="54" t="n"/>
      <c r="B78" s="54" t="n"/>
      <c r="C78" s="54" t="n"/>
      <c r="D78" s="54" t="n"/>
      <c r="E78" s="61">
        <f>IF($D78="","",IFERROR(INDEX(Baseline!$B$20:$B$49,MATCH($D78,Baseline!$A$20:$A$49,0)),""))</f>
        <v/>
      </c>
      <c r="F78" s="54" t="n"/>
      <c r="G78" s="54" t="n"/>
      <c r="H78" s="54" t="n"/>
      <c r="I78" s="62" t="n"/>
      <c r="J78" s="54" t="n"/>
    </row>
    <row r="79" ht="15" customHeight="1" s="34">
      <c r="A79" s="54" t="n"/>
      <c r="B79" s="54" t="n"/>
      <c r="C79" s="54" t="n"/>
      <c r="D79" s="54" t="n"/>
      <c r="E79" s="61">
        <f>IF($D79="","",IFERROR(INDEX(Baseline!$B$20:$B$49,MATCH($D79,Baseline!$A$20:$A$49,0)),""))</f>
        <v/>
      </c>
      <c r="F79" s="54" t="n"/>
      <c r="G79" s="54" t="n"/>
      <c r="H79" s="54" t="n"/>
      <c r="I79" s="62" t="n"/>
      <c r="J79" s="54" t="n"/>
    </row>
    <row r="80" ht="15" customHeight="1" s="34">
      <c r="A80" s="54" t="n"/>
      <c r="B80" s="54" t="n"/>
      <c r="C80" s="54" t="n"/>
      <c r="D80" s="54" t="n"/>
      <c r="E80" s="61">
        <f>IF($D80="","",IFERROR(INDEX(Baseline!$B$20:$B$49,MATCH($D80,Baseline!$A$20:$A$49,0)),""))</f>
        <v/>
      </c>
      <c r="F80" s="54" t="n"/>
      <c r="G80" s="54" t="n"/>
      <c r="H80" s="54" t="n"/>
      <c r="I80" s="62" t="n"/>
      <c r="J80" s="54" t="n"/>
    </row>
    <row r="81" ht="15" customHeight="1" s="34">
      <c r="A81" s="54" t="n"/>
      <c r="B81" s="54" t="n"/>
      <c r="C81" s="54" t="n"/>
      <c r="D81" s="54" t="n"/>
      <c r="E81" s="61">
        <f>IF($D81="","",IFERROR(INDEX(Baseline!$B$20:$B$49,MATCH($D81,Baseline!$A$20:$A$49,0)),""))</f>
        <v/>
      </c>
      <c r="F81" s="54" t="n"/>
      <c r="G81" s="54" t="n"/>
      <c r="H81" s="54" t="n"/>
      <c r="I81" s="62" t="n"/>
      <c r="J81" s="54" t="n"/>
    </row>
    <row r="82" ht="15" customHeight="1" s="34">
      <c r="A82" s="54" t="n"/>
      <c r="B82" s="54" t="n"/>
      <c r="C82" s="54" t="n"/>
      <c r="D82" s="54" t="n"/>
      <c r="E82" s="61">
        <f>IF($D82="","",IFERROR(INDEX(Baseline!$B$20:$B$49,MATCH($D82,Baseline!$A$20:$A$49,0)),""))</f>
        <v/>
      </c>
      <c r="F82" s="54" t="n"/>
      <c r="G82" s="54" t="n"/>
      <c r="H82" s="54" t="n"/>
      <c r="I82" s="62" t="n"/>
      <c r="J82" s="54" t="n"/>
    </row>
    <row r="83" ht="15" customHeight="1" s="34">
      <c r="A83" s="54" t="n"/>
      <c r="B83" s="54" t="n"/>
      <c r="C83" s="54" t="n"/>
      <c r="D83" s="54" t="n"/>
      <c r="E83" s="61">
        <f>IF($D83="","",IFERROR(INDEX(Baseline!$B$20:$B$49,MATCH($D83,Baseline!$A$20:$A$49,0)),""))</f>
        <v/>
      </c>
      <c r="F83" s="54" t="n"/>
      <c r="G83" s="54" t="n"/>
      <c r="H83" s="54" t="n"/>
      <c r="I83" s="62" t="n"/>
      <c r="J83" s="54" t="n"/>
    </row>
    <row r="84" ht="15" customHeight="1" s="34">
      <c r="A84" s="54" t="n"/>
      <c r="B84" s="54" t="n"/>
      <c r="C84" s="54" t="n"/>
      <c r="D84" s="54" t="n"/>
      <c r="E84" s="61">
        <f>IF($D84="","",IFERROR(INDEX(Baseline!$B$20:$B$49,MATCH($D84,Baseline!$A$20:$A$49,0)),""))</f>
        <v/>
      </c>
      <c r="F84" s="54" t="n"/>
      <c r="G84" s="54" t="n"/>
      <c r="H84" s="54" t="n"/>
      <c r="I84" s="62" t="n"/>
      <c r="J84" s="54" t="n"/>
    </row>
    <row r="85" ht="15" customHeight="1" s="34">
      <c r="A85" s="54" t="n"/>
      <c r="B85" s="54" t="n"/>
      <c r="C85" s="54" t="n"/>
      <c r="D85" s="54" t="n"/>
      <c r="E85" s="61">
        <f>IF($D85="","",IFERROR(INDEX(Baseline!$B$20:$B$49,MATCH($D85,Baseline!$A$20:$A$49,0)),""))</f>
        <v/>
      </c>
      <c r="F85" s="54" t="n"/>
      <c r="G85" s="54" t="n"/>
      <c r="H85" s="54" t="n"/>
      <c r="I85" s="62" t="n"/>
      <c r="J85" s="54" t="n"/>
    </row>
    <row r="86" ht="15" customHeight="1" s="34">
      <c r="A86" s="54" t="n"/>
      <c r="B86" s="54" t="n"/>
      <c r="C86" s="54" t="n"/>
      <c r="D86" s="54" t="n"/>
      <c r="E86" s="61">
        <f>IF($D86="","",IFERROR(INDEX(Baseline!$B$20:$B$49,MATCH($D86,Baseline!$A$20:$A$49,0)),""))</f>
        <v/>
      </c>
      <c r="F86" s="54" t="n"/>
      <c r="G86" s="54" t="n"/>
      <c r="H86" s="54" t="n"/>
      <c r="I86" s="62" t="n"/>
      <c r="J86" s="54" t="n"/>
    </row>
    <row r="87" ht="15" customHeight="1" s="34">
      <c r="A87" s="54" t="n"/>
      <c r="B87" s="54" t="n"/>
      <c r="C87" s="54" t="n"/>
      <c r="D87" s="54" t="n"/>
      <c r="E87" s="61">
        <f>IF($D87="","",IFERROR(INDEX(Baseline!$B$20:$B$49,MATCH($D87,Baseline!$A$20:$A$49,0)),""))</f>
        <v/>
      </c>
      <c r="F87" s="54" t="n"/>
      <c r="G87" s="54" t="n"/>
      <c r="H87" s="54" t="n"/>
      <c r="I87" s="62" t="n"/>
      <c r="J87" s="54" t="n"/>
    </row>
    <row r="88" ht="15" customHeight="1" s="34">
      <c r="A88" s="54" t="n"/>
      <c r="B88" s="54" t="n"/>
      <c r="C88" s="54" t="n"/>
      <c r="D88" s="54" t="n"/>
      <c r="E88" s="61">
        <f>IF($D88="","",IFERROR(INDEX(Baseline!$B$20:$B$49,MATCH($D88,Baseline!$A$20:$A$49,0)),""))</f>
        <v/>
      </c>
      <c r="F88" s="54" t="n"/>
      <c r="G88" s="54" t="n"/>
      <c r="H88" s="54" t="n"/>
      <c r="I88" s="62" t="n"/>
      <c r="J88" s="54" t="n"/>
    </row>
    <row r="89" ht="15" customHeight="1" s="34">
      <c r="A89" s="54" t="n"/>
      <c r="B89" s="54" t="n"/>
      <c r="C89" s="54" t="n"/>
      <c r="D89" s="54" t="n"/>
      <c r="E89" s="61">
        <f>IF($D89="","",IFERROR(INDEX(Baseline!$B$20:$B$49,MATCH($D89,Baseline!$A$20:$A$49,0)),""))</f>
        <v/>
      </c>
      <c r="F89" s="54" t="n"/>
      <c r="G89" s="54" t="n"/>
      <c r="H89" s="54" t="n"/>
      <c r="I89" s="62" t="n"/>
      <c r="J89" s="54" t="n"/>
    </row>
    <row r="90" ht="15" customHeight="1" s="34">
      <c r="A90" s="54" t="n"/>
      <c r="B90" s="54" t="n"/>
      <c r="C90" s="54" t="n"/>
      <c r="D90" s="54" t="n"/>
      <c r="E90" s="61">
        <f>IF($D90="","",IFERROR(INDEX(Baseline!$B$20:$B$49,MATCH($D90,Baseline!$A$20:$A$49,0)),""))</f>
        <v/>
      </c>
      <c r="F90" s="54" t="n"/>
      <c r="G90" s="54" t="n"/>
      <c r="H90" s="54" t="n"/>
      <c r="I90" s="62" t="n"/>
      <c r="J90" s="54" t="n"/>
    </row>
    <row r="91" ht="15" customHeight="1" s="34">
      <c r="A91" s="54" t="n"/>
      <c r="B91" s="54" t="n"/>
      <c r="C91" s="54" t="n"/>
      <c r="D91" s="54" t="n"/>
      <c r="E91" s="61">
        <f>IF($D91="","",IFERROR(INDEX(Baseline!$B$20:$B$49,MATCH($D91,Baseline!$A$20:$A$49,0)),""))</f>
        <v/>
      </c>
      <c r="F91" s="54" t="n"/>
      <c r="G91" s="54" t="n"/>
      <c r="H91" s="54" t="n"/>
      <c r="I91" s="62" t="n"/>
      <c r="J91" s="54" t="n"/>
    </row>
    <row r="92" ht="15" customHeight="1" s="34">
      <c r="A92" s="54" t="n"/>
      <c r="B92" s="54" t="n"/>
      <c r="C92" s="54" t="n"/>
      <c r="D92" s="54" t="n"/>
      <c r="E92" s="61">
        <f>IF($D92="","",IFERROR(INDEX(Baseline!$B$20:$B$49,MATCH($D92,Baseline!$A$20:$A$49,0)),""))</f>
        <v/>
      </c>
      <c r="F92" s="54" t="n"/>
      <c r="G92" s="54" t="n"/>
      <c r="H92" s="54" t="n"/>
      <c r="I92" s="62" t="n"/>
      <c r="J92" s="54" t="n"/>
    </row>
    <row r="93" ht="15" customHeight="1" s="34">
      <c r="A93" s="54" t="n"/>
      <c r="B93" s="54" t="n"/>
      <c r="C93" s="54" t="n"/>
      <c r="D93" s="54" t="n"/>
      <c r="E93" s="61">
        <f>IF($D93="","",IFERROR(INDEX(Baseline!$B$20:$B$49,MATCH($D93,Baseline!$A$20:$A$49,0)),""))</f>
        <v/>
      </c>
      <c r="F93" s="54" t="n"/>
      <c r="G93" s="54" t="n"/>
      <c r="H93" s="54" t="n"/>
      <c r="I93" s="62" t="n"/>
      <c r="J93" s="54" t="n"/>
    </row>
    <row r="94" ht="15" customHeight="1" s="34">
      <c r="A94" s="54" t="n"/>
      <c r="B94" s="54" t="n"/>
      <c r="C94" s="54" t="n"/>
      <c r="D94" s="54" t="n"/>
      <c r="E94" s="61">
        <f>IF($D94="","",IFERROR(INDEX(Baseline!$B$20:$B$49,MATCH($D94,Baseline!$A$20:$A$49,0)),""))</f>
        <v/>
      </c>
      <c r="F94" s="54" t="n"/>
      <c r="G94" s="54" t="n"/>
      <c r="H94" s="54" t="n"/>
      <c r="I94" s="62" t="n"/>
      <c r="J94" s="54" t="n"/>
    </row>
    <row r="95" ht="15" customHeight="1" s="34">
      <c r="A95" s="54" t="n"/>
      <c r="B95" s="54" t="n"/>
      <c r="C95" s="54" t="n"/>
      <c r="D95" s="54" t="n"/>
      <c r="E95" s="61">
        <f>IF($D95="","",IFERROR(INDEX(Baseline!$B$20:$B$49,MATCH($D95,Baseline!$A$20:$A$49,0)),""))</f>
        <v/>
      </c>
      <c r="F95" s="54" t="n"/>
      <c r="G95" s="54" t="n"/>
      <c r="H95" s="54" t="n"/>
      <c r="I95" s="62" t="n"/>
      <c r="J95" s="54" t="n"/>
    </row>
    <row r="96" ht="15" customHeight="1" s="34">
      <c r="A96" s="54" t="n"/>
      <c r="B96" s="54" t="n"/>
      <c r="C96" s="54" t="n"/>
      <c r="D96" s="54" t="n"/>
      <c r="E96" s="61">
        <f>IF($D96="","",IFERROR(INDEX(Baseline!$B$20:$B$49,MATCH($D96,Baseline!$A$20:$A$49,0)),""))</f>
        <v/>
      </c>
      <c r="F96" s="54" t="n"/>
      <c r="G96" s="54" t="n"/>
      <c r="H96" s="54" t="n"/>
      <c r="I96" s="62" t="n"/>
      <c r="J96" s="54" t="n"/>
    </row>
    <row r="97" ht="15" customHeight="1" s="34">
      <c r="A97" s="54" t="n"/>
      <c r="B97" s="54" t="n"/>
      <c r="C97" s="54" t="n"/>
      <c r="D97" s="54" t="n"/>
      <c r="E97" s="61">
        <f>IF($D97="","",IFERROR(INDEX(Baseline!$B$20:$B$49,MATCH($D97,Baseline!$A$20:$A$49,0)),""))</f>
        <v/>
      </c>
      <c r="F97" s="54" t="n"/>
      <c r="G97" s="54" t="n"/>
      <c r="H97" s="54" t="n"/>
      <c r="I97" s="62" t="n"/>
      <c r="J97" s="54" t="n"/>
    </row>
    <row r="98" ht="15" customHeight="1" s="34">
      <c r="A98" s="54" t="n"/>
      <c r="B98" s="54" t="n"/>
      <c r="C98" s="54" t="n"/>
      <c r="D98" s="54" t="n"/>
      <c r="E98" s="61">
        <f>IF($D98="","",IFERROR(INDEX(Baseline!$B$20:$B$49,MATCH($D98,Baseline!$A$20:$A$49,0)),""))</f>
        <v/>
      </c>
      <c r="F98" s="54" t="n"/>
      <c r="G98" s="54" t="n"/>
      <c r="H98" s="54" t="n"/>
      <c r="I98" s="62" t="n"/>
      <c r="J98" s="54" t="n"/>
    </row>
    <row r="99" ht="15" customHeight="1" s="34">
      <c r="A99" s="54" t="n"/>
      <c r="B99" s="54" t="n"/>
      <c r="C99" s="54" t="n"/>
      <c r="D99" s="54" t="n"/>
      <c r="E99" s="61">
        <f>IF($D99="","",IFERROR(INDEX(Baseline!$B$20:$B$49,MATCH($D99,Baseline!$A$20:$A$49,0)),""))</f>
        <v/>
      </c>
      <c r="F99" s="54" t="n"/>
      <c r="G99" s="54" t="n"/>
      <c r="H99" s="54" t="n"/>
      <c r="I99" s="62" t="n"/>
      <c r="J99" s="54" t="n"/>
    </row>
    <row r="100" ht="15" customHeight="1" s="34">
      <c r="A100" s="54" t="n"/>
      <c r="B100" s="54" t="n"/>
      <c r="C100" s="54" t="n"/>
      <c r="D100" s="54" t="n"/>
      <c r="E100" s="61">
        <f>IF($D100="","",IFERROR(INDEX(Baseline!$B$20:$B$49,MATCH($D100,Baseline!$A$20:$A$49,0)),""))</f>
        <v/>
      </c>
      <c r="F100" s="54" t="n"/>
      <c r="G100" s="54" t="n"/>
      <c r="H100" s="54" t="n"/>
      <c r="I100" s="62" t="n"/>
      <c r="J100" s="54" t="n"/>
    </row>
    <row r="101" ht="15" customHeight="1" s="34">
      <c r="A101" s="54" t="n"/>
      <c r="B101" s="54" t="n"/>
      <c r="C101" s="54" t="n"/>
      <c r="D101" s="54" t="n"/>
      <c r="E101" s="61">
        <f>IF($D101="","",IFERROR(INDEX(Baseline!$B$20:$B$49,MATCH($D101,Baseline!$A$20:$A$49,0)),""))</f>
        <v/>
      </c>
      <c r="F101" s="54" t="n"/>
      <c r="G101" s="54" t="n"/>
      <c r="H101" s="54" t="n"/>
      <c r="I101" s="62" t="n"/>
      <c r="J101" s="54" t="n"/>
    </row>
    <row r="102" ht="15" customHeight="1" s="34">
      <c r="A102" s="54" t="n"/>
      <c r="B102" s="54" t="n"/>
      <c r="C102" s="54" t="n"/>
      <c r="D102" s="54" t="n"/>
      <c r="E102" s="61">
        <f>IF($D102="","",IFERROR(INDEX(Baseline!$B$20:$B$49,MATCH($D102,Baseline!$A$20:$A$49,0)),""))</f>
        <v/>
      </c>
      <c r="F102" s="54" t="n"/>
      <c r="G102" s="54" t="n"/>
      <c r="H102" s="54" t="n"/>
      <c r="I102" s="62" t="n"/>
      <c r="J102" s="54" t="n"/>
    </row>
    <row r="103" ht="15" customHeight="1" s="34">
      <c r="A103" s="54" t="n"/>
      <c r="B103" s="54" t="n"/>
      <c r="C103" s="54" t="n"/>
      <c r="D103" s="54" t="n"/>
      <c r="E103" s="61">
        <f>IF($D103="","",IFERROR(INDEX(Baseline!$B$20:$B$49,MATCH($D103,Baseline!$A$20:$A$49,0)),""))</f>
        <v/>
      </c>
      <c r="F103" s="54" t="n"/>
      <c r="G103" s="54" t="n"/>
      <c r="H103" s="54" t="n"/>
      <c r="I103" s="62" t="n"/>
      <c r="J103" s="54" t="n"/>
    </row>
    <row r="104" ht="15" customHeight="1" s="34">
      <c r="A104" s="54" t="n"/>
      <c r="B104" s="54" t="n"/>
      <c r="C104" s="54" t="n"/>
      <c r="D104" s="54" t="n"/>
      <c r="E104" s="61">
        <f>IF($D104="","",IFERROR(INDEX(Baseline!$B$20:$B$49,MATCH($D104,Baseline!$A$20:$A$49,0)),""))</f>
        <v/>
      </c>
      <c r="F104" s="54" t="n"/>
      <c r="G104" s="54" t="n"/>
      <c r="H104" s="54" t="n"/>
      <c r="I104" s="62" t="n"/>
      <c r="J104" s="54" t="n"/>
    </row>
  </sheetData>
  <dataValidations count="1">
    <dataValidation sqref="G5:G104" showDropDown="0" showInputMessage="0" showErrorMessage="0" allowBlank="1" type="list" errorStyle="stop" operator="between">
      <formula1>"Accepted,Rejected,Clarify"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33" min="1" max="1"/>
    <col width="13" customWidth="1" style="33" min="2" max="2"/>
    <col width="16" customWidth="1" style="33" min="3" max="3"/>
    <col width="12" customWidth="1" style="33" min="4" max="4"/>
    <col width="80" customWidth="1" style="33" min="5" max="5"/>
    <col width="12" customWidth="1" style="33" min="6" max="6"/>
    <col width="13" customWidth="1" style="33" min="7" max="9"/>
    <col width="10" customWidth="1" style="33" min="10" max="10"/>
  </cols>
  <sheetData>
    <row r="1" ht="17.35" customHeight="1" s="34">
      <c r="A1" s="35" t="inlineStr">
        <is>
          <t>Clarification Log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</row>
    <row r="2" ht="15" customHeight="1" s="34">
      <c r="A2" s="37" t="inlineStr">
        <is>
          <t>Drafts only. Review and send before changing status.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</row>
    <row r="3" ht="30" customHeight="1" s="34">
      <c r="A3" s="48" t="inlineStr">
        <is>
          <t>Ref</t>
        </is>
      </c>
      <c r="B3" s="48" t="inlineStr">
        <is>
          <t>Date raised</t>
        </is>
      </c>
      <c r="C3" s="48" t="inlineStr">
        <is>
          <t>Supplier</t>
        </is>
      </c>
      <c r="D3" s="48" t="inlineStr">
        <is>
          <t>Line(s)</t>
        </is>
      </c>
      <c r="E3" s="48" t="inlineStr">
        <is>
          <t>Issue</t>
        </is>
      </c>
      <c r="F3" s="48" t="inlineStr">
        <is>
          <t>Sent by</t>
        </is>
      </c>
      <c r="G3" s="48" t="inlineStr">
        <is>
          <t>Due date</t>
        </is>
      </c>
      <c r="H3" s="48" t="inlineStr">
        <is>
          <t>Response date</t>
        </is>
      </c>
      <c r="I3" s="48" t="inlineStr">
        <is>
          <t>Resulting rev</t>
        </is>
      </c>
      <c r="J3" s="48" t="inlineStr">
        <is>
          <t>Status</t>
        </is>
      </c>
    </row>
    <row r="4" ht="23.85" customHeight="1" s="34">
      <c r="A4" s="54" t="inlineStr">
        <is>
          <t>CL-001</t>
        </is>
      </c>
      <c r="B4" s="62" t="n">
        <v>46296</v>
      </c>
      <c r="C4" s="54" t="inlineStr">
        <is>
          <t>Tilal Al-Eamar</t>
        </is>
      </c>
      <c r="D4" s="54" t="inlineStr">
        <is>
          <t>5, 19-24</t>
        </is>
      </c>
      <c r="E4" s="63" t="inlineStr">
        <is>
          <t>Quote dated 16-Aug-2026, before the RFQ. Confirm prices valid; provide skylight spec (structure, glass), door glass, validity, warranty.</t>
        </is>
      </c>
      <c r="F4" s="54" t="n"/>
      <c r="G4" s="62" t="n"/>
      <c r="H4" s="62" t="n"/>
      <c r="I4" s="54" t="n"/>
      <c r="J4" s="54" t="inlineStr">
        <is>
          <t>Draft</t>
        </is>
      </c>
    </row>
    <row r="5" ht="15" customHeight="1" s="34">
      <c r="A5" s="54" t="inlineStr">
        <is>
          <t>CL-002</t>
        </is>
      </c>
      <c r="B5" s="62" t="n">
        <v>46296</v>
      </c>
      <c r="C5" s="54" t="inlineStr">
        <is>
          <t>Lamset Ebdaa</t>
        </is>
      </c>
      <c r="D5" s="54" t="inlineStr">
        <is>
          <t>4, 13, 17-24</t>
        </is>
      </c>
      <c r="E5" s="63" t="inlineStr">
        <is>
          <t>Glass thickness, door and skylight specs, validity and warranty not stated.</t>
        </is>
      </c>
      <c r="F5" s="54" t="n"/>
      <c r="G5" s="62" t="n"/>
      <c r="H5" s="62" t="n"/>
      <c r="I5" s="54" t="n"/>
      <c r="J5" s="54" t="inlineStr">
        <is>
          <t>Draft</t>
        </is>
      </c>
    </row>
    <row r="6" ht="15" customHeight="1" s="34">
      <c r="A6" s="54" t="inlineStr">
        <is>
          <t>CL-003</t>
        </is>
      </c>
      <c r="B6" s="62" t="n">
        <v>46296</v>
      </c>
      <c r="C6" s="54" t="inlineStr">
        <is>
          <t>Falcon</t>
        </is>
      </c>
      <c r="D6" s="54" t="inlineStr">
        <is>
          <t>4, 20</t>
        </is>
      </c>
      <c r="E6" s="63" t="inlineStr">
        <is>
          <t>Offer expired 30-Sep. Skylight profile 2.5 mm vs 3 mm minimum: confirm revised spec and price.</t>
        </is>
      </c>
      <c r="F6" s="54" t="n"/>
      <c r="G6" s="62" t="n"/>
      <c r="H6" s="62" t="n"/>
      <c r="I6" s="54" t="n"/>
      <c r="J6" s="54" t="inlineStr">
        <is>
          <t>Draft</t>
        </is>
      </c>
    </row>
    <row r="7" ht="23.85" customHeight="1" s="34">
      <c r="A7" s="54" t="inlineStr">
        <is>
          <t>CL-004</t>
        </is>
      </c>
      <c r="B7" s="62" t="n">
        <v>46296</v>
      </c>
      <c r="C7" s="54" t="inlineStr">
        <is>
          <t>Mishkal</t>
        </is>
      </c>
      <c r="D7" s="54" t="inlineStr">
        <is>
          <t>13, 19, 21</t>
        </is>
      </c>
      <c r="E7" s="63" t="inlineStr">
        <is>
          <t>Windows glass 6/8/6 = 20 mm vs 24 mm. Doors stated 24 mm but 6/10/6 = 22 mm. Skylight stated 28 mm but 6+16+8 = 30 mm. Requote to 6+12+6.</t>
        </is>
      </c>
      <c r="F7" s="54" t="n"/>
      <c r="G7" s="62" t="n"/>
      <c r="H7" s="62" t="n"/>
      <c r="I7" s="54" t="n"/>
      <c r="J7" s="54" t="inlineStr">
        <is>
          <t>Draft</t>
        </is>
      </c>
    </row>
    <row r="8" ht="15" customHeight="1" s="34">
      <c r="A8" s="54" t="inlineStr">
        <is>
          <t>CL-005</t>
        </is>
      </c>
      <c r="B8" s="62" t="n">
        <v>46296</v>
      </c>
      <c r="C8" s="54" t="inlineStr">
        <is>
          <t>Qimam</t>
        </is>
      </c>
      <c r="D8" s="54" t="inlineStr">
        <is>
          <t>4, 14, 24</t>
        </is>
      </c>
      <c r="E8" s="63" t="inlineStr">
        <is>
          <t>Offer expired 27-Sep. Confirm tempering and 10-year skylight warranty (5 quoted).</t>
        </is>
      </c>
      <c r="F8" s="54" t="n"/>
      <c r="G8" s="62" t="n"/>
      <c r="H8" s="62" t="n"/>
      <c r="I8" s="54" t="n"/>
      <c r="J8" s="54" t="inlineStr">
        <is>
          <t>Draft</t>
        </is>
      </c>
    </row>
    <row r="9" ht="23.85" customHeight="1" s="34">
      <c r="A9" s="54" t="inlineStr">
        <is>
          <t>CL-006</t>
        </is>
      </c>
      <c r="B9" s="62" t="n">
        <v>46296</v>
      </c>
      <c r="C9" s="54" t="inlineStr">
        <is>
          <t>Al Shareef</t>
        </is>
      </c>
      <c r="D9" s="54" t="inlineStr">
        <is>
          <t>1-3</t>
        </is>
      </c>
      <c r="E9" s="63" t="inlineStr">
        <is>
          <t>Quote built on own BOQ. No skylight item (curtain wall priced instead); doors priced as hinged windows. Requote on RFQ BOQ.</t>
        </is>
      </c>
      <c r="F9" s="54" t="n"/>
      <c r="G9" s="62" t="n"/>
      <c r="H9" s="62" t="n"/>
      <c r="I9" s="54" t="n"/>
      <c r="J9" s="54" t="inlineStr">
        <is>
          <t>Draft</t>
        </is>
      </c>
    </row>
    <row r="10" ht="15" customHeight="1" s="34">
      <c r="A10" s="54" t="inlineStr">
        <is>
          <t>CL-007</t>
        </is>
      </c>
      <c r="B10" s="62" t="n">
        <v>46296</v>
      </c>
      <c r="C10" s="54" t="inlineStr">
        <is>
          <t>Ultra Frame</t>
        </is>
      </c>
      <c r="D10" s="54" t="inlineStr">
        <is>
          <t>2, 19</t>
        </is>
      </c>
      <c r="E10" s="63" t="inlineStr">
        <is>
          <t>Doors quoted 27 m2 vs RFQ 23 m2. Door glass stated 24 mm but 6+16+6 = 28 mm.</t>
        </is>
      </c>
      <c r="F10" s="54" t="n"/>
      <c r="G10" s="62" t="n"/>
      <c r="H10" s="62" t="n"/>
      <c r="I10" s="54" t="n"/>
      <c r="J10" s="54" t="inlineStr">
        <is>
          <t>Draft</t>
        </is>
      </c>
    </row>
    <row r="11" ht="15" customHeight="1" s="34">
      <c r="A11" s="54" t="n"/>
      <c r="B11" s="62" t="n"/>
      <c r="C11" s="54" t="n"/>
      <c r="D11" s="54" t="n"/>
      <c r="E11" s="63" t="n"/>
      <c r="F11" s="54" t="n"/>
      <c r="G11" s="62" t="n"/>
      <c r="H11" s="62" t="n"/>
      <c r="I11" s="54" t="n"/>
      <c r="J11" s="54" t="n"/>
    </row>
    <row r="12" ht="15" customHeight="1" s="34">
      <c r="A12" s="54" t="n"/>
      <c r="B12" s="62" t="n"/>
      <c r="C12" s="54" t="n"/>
      <c r="D12" s="54" t="n"/>
      <c r="E12" s="63" t="n"/>
      <c r="F12" s="54" t="n"/>
      <c r="G12" s="62" t="n"/>
      <c r="H12" s="62" t="n"/>
      <c r="I12" s="54" t="n"/>
      <c r="J12" s="54" t="n"/>
    </row>
    <row r="13" ht="15" customHeight="1" s="34">
      <c r="A13" s="54" t="n"/>
      <c r="B13" s="62" t="n"/>
      <c r="C13" s="54" t="n"/>
      <c r="D13" s="54" t="n"/>
      <c r="E13" s="63" t="n"/>
      <c r="F13" s="54" t="n"/>
      <c r="G13" s="62" t="n"/>
      <c r="H13" s="62" t="n"/>
      <c r="I13" s="54" t="n"/>
      <c r="J13" s="54" t="n"/>
    </row>
    <row r="14" ht="15" customHeight="1" s="34">
      <c r="A14" s="54" t="n"/>
      <c r="B14" s="62" t="n"/>
      <c r="C14" s="54" t="n"/>
      <c r="D14" s="54" t="n"/>
      <c r="E14" s="63" t="n"/>
      <c r="F14" s="54" t="n"/>
      <c r="G14" s="62" t="n"/>
      <c r="H14" s="62" t="n"/>
      <c r="I14" s="54" t="n"/>
      <c r="J14" s="54" t="n"/>
    </row>
    <row r="15" ht="15" customHeight="1" s="34">
      <c r="A15" s="54" t="n"/>
      <c r="B15" s="62" t="n"/>
      <c r="C15" s="54" t="n"/>
      <c r="D15" s="54" t="n"/>
      <c r="E15" s="63" t="n"/>
      <c r="F15" s="54" t="n"/>
      <c r="G15" s="62" t="n"/>
      <c r="H15" s="62" t="n"/>
      <c r="I15" s="54" t="n"/>
      <c r="J15" s="54" t="n"/>
    </row>
    <row r="16" ht="15" customHeight="1" s="34">
      <c r="A16" s="54" t="n"/>
      <c r="B16" s="62" t="n"/>
      <c r="C16" s="54" t="n"/>
      <c r="D16" s="54" t="n"/>
      <c r="E16" s="63" t="n"/>
      <c r="F16" s="54" t="n"/>
      <c r="G16" s="62" t="n"/>
      <c r="H16" s="62" t="n"/>
      <c r="I16" s="54" t="n"/>
      <c r="J16" s="54" t="n"/>
    </row>
    <row r="17" ht="15" customHeight="1" s="34">
      <c r="A17" s="54" t="n"/>
      <c r="B17" s="62" t="n"/>
      <c r="C17" s="54" t="n"/>
      <c r="D17" s="54" t="n"/>
      <c r="E17" s="63" t="n"/>
      <c r="F17" s="54" t="n"/>
      <c r="G17" s="62" t="n"/>
      <c r="H17" s="62" t="n"/>
      <c r="I17" s="54" t="n"/>
      <c r="J17" s="54" t="n"/>
    </row>
    <row r="18" ht="15" customHeight="1" s="34">
      <c r="A18" s="54" t="n"/>
      <c r="B18" s="62" t="n"/>
      <c r="C18" s="54" t="n"/>
      <c r="D18" s="54" t="n"/>
      <c r="E18" s="63" t="n"/>
      <c r="F18" s="54" t="n"/>
      <c r="G18" s="62" t="n"/>
      <c r="H18" s="62" t="n"/>
      <c r="I18" s="54" t="n"/>
      <c r="J18" s="54" t="n"/>
    </row>
    <row r="19" ht="15" customHeight="1" s="34">
      <c r="A19" s="54" t="n"/>
      <c r="B19" s="62" t="n"/>
      <c r="C19" s="54" t="n"/>
      <c r="D19" s="54" t="n"/>
      <c r="E19" s="63" t="n"/>
      <c r="F19" s="54" t="n"/>
      <c r="G19" s="62" t="n"/>
      <c r="H19" s="62" t="n"/>
      <c r="I19" s="54" t="n"/>
      <c r="J19" s="54" t="n"/>
    </row>
    <row r="20" ht="15" customHeight="1" s="34">
      <c r="A20" s="54" t="n"/>
      <c r="B20" s="62" t="n"/>
      <c r="C20" s="54" t="n"/>
      <c r="D20" s="54" t="n"/>
      <c r="E20" s="63" t="n"/>
      <c r="F20" s="54" t="n"/>
      <c r="G20" s="62" t="n"/>
      <c r="H20" s="62" t="n"/>
      <c r="I20" s="54" t="n"/>
      <c r="J20" s="54" t="n"/>
    </row>
    <row r="21" ht="15" customHeight="1" s="34">
      <c r="A21" s="54" t="n"/>
      <c r="B21" s="62" t="n"/>
      <c r="C21" s="54" t="n"/>
      <c r="D21" s="54" t="n"/>
      <c r="E21" s="63" t="n"/>
      <c r="F21" s="54" t="n"/>
      <c r="G21" s="62" t="n"/>
      <c r="H21" s="62" t="n"/>
      <c r="I21" s="54" t="n"/>
      <c r="J21" s="54" t="n"/>
    </row>
    <row r="22" ht="15" customHeight="1" s="34">
      <c r="A22" s="54" t="n"/>
      <c r="B22" s="62" t="n"/>
      <c r="C22" s="54" t="n"/>
      <c r="D22" s="54" t="n"/>
      <c r="E22" s="63" t="n"/>
      <c r="F22" s="54" t="n"/>
      <c r="G22" s="62" t="n"/>
      <c r="H22" s="62" t="n"/>
      <c r="I22" s="54" t="n"/>
      <c r="J22" s="54" t="n"/>
    </row>
    <row r="23" ht="15" customHeight="1" s="34">
      <c r="A23" s="54" t="n"/>
      <c r="B23" s="62" t="n"/>
      <c r="C23" s="54" t="n"/>
      <c r="D23" s="54" t="n"/>
      <c r="E23" s="63" t="n"/>
      <c r="F23" s="54" t="n"/>
      <c r="G23" s="62" t="n"/>
      <c r="H23" s="62" t="n"/>
      <c r="I23" s="54" t="n"/>
      <c r="J23" s="54" t="n"/>
    </row>
    <row r="24" ht="15" customHeight="1" s="34">
      <c r="A24" s="54" t="n"/>
      <c r="B24" s="62" t="n"/>
      <c r="C24" s="54" t="n"/>
      <c r="D24" s="54" t="n"/>
      <c r="E24" s="63" t="n"/>
      <c r="F24" s="54" t="n"/>
      <c r="G24" s="62" t="n"/>
      <c r="H24" s="62" t="n"/>
      <c r="I24" s="54" t="n"/>
      <c r="J24" s="54" t="n"/>
    </row>
    <row r="25" ht="15" customHeight="1" s="34">
      <c r="A25" s="54" t="n"/>
      <c r="B25" s="62" t="n"/>
      <c r="C25" s="54" t="n"/>
      <c r="D25" s="54" t="n"/>
      <c r="E25" s="63" t="n"/>
      <c r="F25" s="54" t="n"/>
      <c r="G25" s="62" t="n"/>
      <c r="H25" s="62" t="n"/>
      <c r="I25" s="54" t="n"/>
      <c r="J25" s="54" t="n"/>
    </row>
    <row r="26" ht="15" customHeight="1" s="34">
      <c r="A26" s="54" t="n"/>
      <c r="B26" s="62" t="n"/>
      <c r="C26" s="54" t="n"/>
      <c r="D26" s="54" t="n"/>
      <c r="E26" s="63" t="n"/>
      <c r="F26" s="54" t="n"/>
      <c r="G26" s="62" t="n"/>
      <c r="H26" s="62" t="n"/>
      <c r="I26" s="54" t="n"/>
      <c r="J26" s="54" t="n"/>
    </row>
    <row r="27" ht="15" customHeight="1" s="34">
      <c r="A27" s="54" t="n"/>
      <c r="B27" s="62" t="n"/>
      <c r="C27" s="54" t="n"/>
      <c r="D27" s="54" t="n"/>
      <c r="E27" s="63" t="n"/>
      <c r="F27" s="54" t="n"/>
      <c r="G27" s="62" t="n"/>
      <c r="H27" s="62" t="n"/>
      <c r="I27" s="54" t="n"/>
      <c r="J27" s="54" t="n"/>
    </row>
    <row r="28" ht="15" customHeight="1" s="34">
      <c r="A28" s="54" t="n"/>
      <c r="B28" s="62" t="n"/>
      <c r="C28" s="54" t="n"/>
      <c r="D28" s="54" t="n"/>
      <c r="E28" s="63" t="n"/>
      <c r="F28" s="54" t="n"/>
      <c r="G28" s="62" t="n"/>
      <c r="H28" s="62" t="n"/>
      <c r="I28" s="54" t="n"/>
      <c r="J28" s="54" t="n"/>
    </row>
    <row r="29" ht="15" customHeight="1" s="34">
      <c r="A29" s="54" t="n"/>
      <c r="B29" s="62" t="n"/>
      <c r="C29" s="54" t="n"/>
      <c r="D29" s="54" t="n"/>
      <c r="E29" s="63" t="n"/>
      <c r="F29" s="54" t="n"/>
      <c r="G29" s="62" t="n"/>
      <c r="H29" s="62" t="n"/>
      <c r="I29" s="54" t="n"/>
      <c r="J29" s="54" t="n"/>
    </row>
    <row r="30" ht="15" customHeight="1" s="34">
      <c r="A30" s="54" t="n"/>
      <c r="B30" s="62" t="n"/>
      <c r="C30" s="54" t="n"/>
      <c r="D30" s="54" t="n"/>
      <c r="E30" s="63" t="n"/>
      <c r="F30" s="54" t="n"/>
      <c r="G30" s="62" t="n"/>
      <c r="H30" s="62" t="n"/>
      <c r="I30" s="54" t="n"/>
      <c r="J30" s="54" t="n"/>
    </row>
    <row r="31" ht="15" customHeight="1" s="34">
      <c r="A31" s="54" t="n"/>
      <c r="B31" s="62" t="n"/>
      <c r="C31" s="54" t="n"/>
      <c r="D31" s="54" t="n"/>
      <c r="E31" s="63" t="n"/>
      <c r="F31" s="54" t="n"/>
      <c r="G31" s="62" t="n"/>
      <c r="H31" s="62" t="n"/>
      <c r="I31" s="54" t="n"/>
      <c r="J31" s="54" t="n"/>
    </row>
    <row r="32" ht="15" customHeight="1" s="34">
      <c r="A32" s="54" t="n"/>
      <c r="B32" s="62" t="n"/>
      <c r="C32" s="54" t="n"/>
      <c r="D32" s="54" t="n"/>
      <c r="E32" s="63" t="n"/>
      <c r="F32" s="54" t="n"/>
      <c r="G32" s="62" t="n"/>
      <c r="H32" s="62" t="n"/>
      <c r="I32" s="54" t="n"/>
      <c r="J32" s="54" t="n"/>
    </row>
    <row r="33" ht="15" customHeight="1" s="34">
      <c r="A33" s="54" t="n"/>
      <c r="B33" s="62" t="n"/>
      <c r="C33" s="54" t="n"/>
      <c r="D33" s="54" t="n"/>
      <c r="E33" s="63" t="n"/>
      <c r="F33" s="54" t="n"/>
      <c r="G33" s="62" t="n"/>
      <c r="H33" s="62" t="n"/>
      <c r="I33" s="54" t="n"/>
      <c r="J33" s="54" t="n"/>
    </row>
    <row r="34" ht="15" customHeight="1" s="34">
      <c r="A34" s="54" t="n"/>
      <c r="B34" s="62" t="n"/>
      <c r="C34" s="54" t="n"/>
      <c r="D34" s="54" t="n"/>
      <c r="E34" s="63" t="n"/>
      <c r="F34" s="54" t="n"/>
      <c r="G34" s="62" t="n"/>
      <c r="H34" s="62" t="n"/>
      <c r="I34" s="54" t="n"/>
      <c r="J34" s="54" t="n"/>
    </row>
    <row r="35" ht="15" customHeight="1" s="34">
      <c r="A35" s="54" t="n"/>
      <c r="B35" s="62" t="n"/>
      <c r="C35" s="54" t="n"/>
      <c r="D35" s="54" t="n"/>
      <c r="E35" s="63" t="n"/>
      <c r="F35" s="54" t="n"/>
      <c r="G35" s="62" t="n"/>
      <c r="H35" s="62" t="n"/>
      <c r="I35" s="54" t="n"/>
      <c r="J35" s="54" t="n"/>
    </row>
    <row r="36" ht="15" customHeight="1" s="34">
      <c r="A36" s="54" t="n"/>
      <c r="B36" s="62" t="n"/>
      <c r="C36" s="54" t="n"/>
      <c r="D36" s="54" t="n"/>
      <c r="E36" s="63" t="n"/>
      <c r="F36" s="54" t="n"/>
      <c r="G36" s="62" t="n"/>
      <c r="H36" s="62" t="n"/>
      <c r="I36" s="54" t="n"/>
      <c r="J36" s="54" t="n"/>
    </row>
    <row r="37" ht="15" customHeight="1" s="34">
      <c r="A37" s="54" t="n"/>
      <c r="B37" s="62" t="n"/>
      <c r="C37" s="54" t="n"/>
      <c r="D37" s="54" t="n"/>
      <c r="E37" s="63" t="n"/>
      <c r="F37" s="54" t="n"/>
      <c r="G37" s="62" t="n"/>
      <c r="H37" s="62" t="n"/>
      <c r="I37" s="54" t="n"/>
      <c r="J37" s="54" t="n"/>
    </row>
    <row r="38" ht="15" customHeight="1" s="34">
      <c r="A38" s="54" t="n"/>
      <c r="B38" s="62" t="n"/>
      <c r="C38" s="54" t="n"/>
      <c r="D38" s="54" t="n"/>
      <c r="E38" s="63" t="n"/>
      <c r="F38" s="54" t="n"/>
      <c r="G38" s="62" t="n"/>
      <c r="H38" s="62" t="n"/>
      <c r="I38" s="54" t="n"/>
      <c r="J38" s="54" t="n"/>
    </row>
    <row r="39" ht="15" customHeight="1" s="34">
      <c r="A39" s="54" t="n"/>
      <c r="B39" s="62" t="n"/>
      <c r="C39" s="54" t="n"/>
      <c r="D39" s="54" t="n"/>
      <c r="E39" s="63" t="n"/>
      <c r="F39" s="54" t="n"/>
      <c r="G39" s="62" t="n"/>
      <c r="H39" s="62" t="n"/>
      <c r="I39" s="54" t="n"/>
      <c r="J39" s="54" t="n"/>
    </row>
    <row r="40" ht="15" customHeight="1" s="34">
      <c r="A40" s="54" t="n"/>
      <c r="B40" s="62" t="n"/>
      <c r="C40" s="54" t="n"/>
      <c r="D40" s="54" t="n"/>
      <c r="E40" s="63" t="n"/>
      <c r="F40" s="54" t="n"/>
      <c r="G40" s="62" t="n"/>
      <c r="H40" s="62" t="n"/>
      <c r="I40" s="54" t="n"/>
      <c r="J40" s="54" t="n"/>
    </row>
    <row r="41" ht="15" customHeight="1" s="34">
      <c r="A41" s="54" t="n"/>
      <c r="B41" s="62" t="n"/>
      <c r="C41" s="54" t="n"/>
      <c r="D41" s="54" t="n"/>
      <c r="E41" s="63" t="n"/>
      <c r="F41" s="54" t="n"/>
      <c r="G41" s="62" t="n"/>
      <c r="H41" s="62" t="n"/>
      <c r="I41" s="54" t="n"/>
      <c r="J41" s="54" t="n"/>
    </row>
    <row r="42" ht="15" customHeight="1" s="34">
      <c r="A42" s="54" t="n"/>
      <c r="B42" s="62" t="n"/>
      <c r="C42" s="54" t="n"/>
      <c r="D42" s="54" t="n"/>
      <c r="E42" s="63" t="n"/>
      <c r="F42" s="54" t="n"/>
      <c r="G42" s="62" t="n"/>
      <c r="H42" s="62" t="n"/>
      <c r="I42" s="54" t="n"/>
      <c r="J42" s="54" t="n"/>
    </row>
    <row r="43" ht="15" customHeight="1" s="34">
      <c r="A43" s="54" t="n"/>
      <c r="B43" s="62" t="n"/>
      <c r="C43" s="54" t="n"/>
      <c r="D43" s="54" t="n"/>
      <c r="E43" s="63" t="n"/>
      <c r="F43" s="54" t="n"/>
      <c r="G43" s="62" t="n"/>
      <c r="H43" s="62" t="n"/>
      <c r="I43" s="54" t="n"/>
      <c r="J43" s="54" t="n"/>
    </row>
    <row r="44" ht="15" customHeight="1" s="34">
      <c r="A44" s="54" t="n"/>
      <c r="B44" s="62" t="n"/>
      <c r="C44" s="54" t="n"/>
      <c r="D44" s="54" t="n"/>
      <c r="E44" s="63" t="n"/>
      <c r="F44" s="54" t="n"/>
      <c r="G44" s="62" t="n"/>
      <c r="H44" s="62" t="n"/>
      <c r="I44" s="54" t="n"/>
      <c r="J44" s="54" t="n"/>
    </row>
    <row r="45" ht="15" customHeight="1" s="34">
      <c r="A45" s="54" t="n"/>
      <c r="B45" s="62" t="n"/>
      <c r="C45" s="54" t="n"/>
      <c r="D45" s="54" t="n"/>
      <c r="E45" s="63" t="n"/>
      <c r="F45" s="54" t="n"/>
      <c r="G45" s="62" t="n"/>
      <c r="H45" s="62" t="n"/>
      <c r="I45" s="54" t="n"/>
      <c r="J45" s="54" t="n"/>
    </row>
    <row r="46" ht="15" customHeight="1" s="34">
      <c r="A46" s="54" t="n"/>
      <c r="B46" s="62" t="n"/>
      <c r="C46" s="54" t="n"/>
      <c r="D46" s="54" t="n"/>
      <c r="E46" s="63" t="n"/>
      <c r="F46" s="54" t="n"/>
      <c r="G46" s="62" t="n"/>
      <c r="H46" s="62" t="n"/>
      <c r="I46" s="54" t="n"/>
      <c r="J46" s="54" t="n"/>
    </row>
    <row r="47" ht="15" customHeight="1" s="34">
      <c r="A47" s="54" t="n"/>
      <c r="B47" s="62" t="n"/>
      <c r="C47" s="54" t="n"/>
      <c r="D47" s="54" t="n"/>
      <c r="E47" s="63" t="n"/>
      <c r="F47" s="54" t="n"/>
      <c r="G47" s="62" t="n"/>
      <c r="H47" s="62" t="n"/>
      <c r="I47" s="54" t="n"/>
      <c r="J47" s="54" t="n"/>
    </row>
    <row r="48" ht="15" customHeight="1" s="34">
      <c r="A48" s="54" t="n"/>
      <c r="B48" s="62" t="n"/>
      <c r="C48" s="54" t="n"/>
      <c r="D48" s="54" t="n"/>
      <c r="E48" s="63" t="n"/>
      <c r="F48" s="54" t="n"/>
      <c r="G48" s="62" t="n"/>
      <c r="H48" s="62" t="n"/>
      <c r="I48" s="54" t="n"/>
      <c r="J48" s="54" t="n"/>
    </row>
    <row r="49" ht="15" customHeight="1" s="34">
      <c r="A49" s="54" t="n"/>
      <c r="B49" s="62" t="n"/>
      <c r="C49" s="54" t="n"/>
      <c r="D49" s="54" t="n"/>
      <c r="E49" s="63" t="n"/>
      <c r="F49" s="54" t="n"/>
      <c r="G49" s="62" t="n"/>
      <c r="H49" s="62" t="n"/>
      <c r="I49" s="54" t="n"/>
      <c r="J49" s="54" t="n"/>
    </row>
    <row r="50" ht="15" customHeight="1" s="34">
      <c r="A50" s="54" t="n"/>
      <c r="B50" s="62" t="n"/>
      <c r="C50" s="54" t="n"/>
      <c r="D50" s="54" t="n"/>
      <c r="E50" s="63" t="n"/>
      <c r="F50" s="54" t="n"/>
      <c r="G50" s="62" t="n"/>
      <c r="H50" s="62" t="n"/>
      <c r="I50" s="54" t="n"/>
      <c r="J50" s="54" t="n"/>
    </row>
    <row r="51" ht="15" customHeight="1" s="34">
      <c r="A51" s="54" t="n"/>
      <c r="B51" s="62" t="n"/>
      <c r="C51" s="54" t="n"/>
      <c r="D51" s="54" t="n"/>
      <c r="E51" s="63" t="n"/>
      <c r="F51" s="54" t="n"/>
      <c r="G51" s="62" t="n"/>
      <c r="H51" s="62" t="n"/>
      <c r="I51" s="54" t="n"/>
      <c r="J51" s="54" t="n"/>
    </row>
    <row r="52" ht="15" customHeight="1" s="34">
      <c r="A52" s="54" t="n"/>
      <c r="B52" s="62" t="n"/>
      <c r="C52" s="54" t="n"/>
      <c r="D52" s="54" t="n"/>
      <c r="E52" s="63" t="n"/>
      <c r="F52" s="54" t="n"/>
      <c r="G52" s="62" t="n"/>
      <c r="H52" s="62" t="n"/>
      <c r="I52" s="54" t="n"/>
      <c r="J52" s="54" t="n"/>
    </row>
    <row r="53" ht="15" customHeight="1" s="34">
      <c r="A53" s="54" t="n"/>
      <c r="B53" s="62" t="n"/>
      <c r="C53" s="54" t="n"/>
      <c r="D53" s="54" t="n"/>
      <c r="E53" s="63" t="n"/>
      <c r="F53" s="54" t="n"/>
      <c r="G53" s="62" t="n"/>
      <c r="H53" s="62" t="n"/>
      <c r="I53" s="54" t="n"/>
      <c r="J53" s="54" t="n"/>
    </row>
  </sheetData>
  <dataValidations count="1">
    <dataValidation sqref="J4:J53" showDropDown="0" showInputMessage="0" showErrorMessage="0" allowBlank="1" type="list" errorStyle="stop" operator="between">
      <formula1>"Draft,Open,Closed"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33" min="1" max="1"/>
    <col width="38" customWidth="1" style="33" min="2" max="2"/>
    <col width="13" customWidth="1" style="33" min="3" max="3"/>
    <col width="22" customWidth="1" style="33" min="4" max="4"/>
    <col width="13" customWidth="1" style="33" min="5" max="12"/>
    <col width="13" customWidth="1" style="34" min="6" max="6"/>
    <col width="13" customWidth="1" style="34" min="7" max="7"/>
    <col width="13" customWidth="1" style="34" min="8" max="8"/>
    <col width="13" customWidth="1" style="34" min="9" max="9"/>
    <col width="13" customWidth="1" style="34" min="10" max="10"/>
    <col width="13" customWidth="1" style="34" min="11" max="11"/>
    <col width="13" customWidth="1" style="34" min="12" max="12"/>
    <col width="13" customWidth="1" style="34" min="13" max="13"/>
    <col width="13" customWidth="1" style="34" min="14" max="14"/>
  </cols>
  <sheetData>
    <row r="1" ht="17.35" customHeight="1" s="34">
      <c r="A1" s="35" t="inlineStr">
        <is>
          <t>Compliance Matrix (latest revision per supplier)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</row>
    <row r="2" ht="15" customHeight="1" s="34">
      <c r="A2" s="36" t="n"/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</row>
    <row r="3" ht="15" customHeight="1" s="34">
      <c r="A3" s="36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</row>
    <row r="4" ht="27.75" customHeight="1" s="34">
      <c r="A4" s="36" t="n"/>
      <c r="B4" s="36" t="n"/>
      <c r="C4" s="36" t="n"/>
      <c r="D4" s="38" t="inlineStr">
        <is>
          <t>Supplier</t>
        </is>
      </c>
      <c r="E4" s="64" t="n"/>
      <c r="F4" s="64" t="n"/>
      <c r="G4" s="64" t="n"/>
      <c r="H4" s="64" t="n"/>
      <c r="I4" s="64" t="n"/>
      <c r="J4" s="64" t="n"/>
      <c r="K4" s="64" t="n"/>
      <c r="L4" s="64" t="n"/>
      <c r="M4" s="64" t="n"/>
      <c r="N4" s="64" t="n"/>
    </row>
    <row r="5" ht="15" customHeight="1" s="34">
      <c r="A5" s="36" t="n"/>
      <c r="B5" s="36" t="n"/>
      <c r="C5" s="36" t="n"/>
      <c r="D5" s="38" t="inlineStr">
        <is>
          <t>Latest revision</t>
        </is>
      </c>
      <c r="E5" s="65">
        <f>IF(E4="","",IF(COUNTIF(Submissions!$A$5:$A$304,E4)=0,"",SUMPRODUCT(MAX((Submissions!$A$5:$A$304=E4)*Submissions!$B$5:$B$304))))</f>
        <v/>
      </c>
      <c r="F5" s="65">
        <f>IF(F4="","",IF(COUNTIF(Submissions!$A$5:$A$304,F4)=0,"",SUMPRODUCT(MAX((Submissions!$A$5:$A$304=F4)*Submissions!$B$5:$B$304))))</f>
        <v/>
      </c>
      <c r="G5" s="65">
        <f>IF(G4="","",IF(COUNTIF(Submissions!$A$5:$A$304,G4)=0,"",SUMPRODUCT(MAX((Submissions!$A$5:$A$304=G4)*Submissions!$B$5:$B$304))))</f>
        <v/>
      </c>
      <c r="H5" s="65">
        <f>IF(H4="","",IF(COUNTIF(Submissions!$A$5:$A$304,H4)=0,"",SUMPRODUCT(MAX((Submissions!$A$5:$A$304=H4)*Submissions!$B$5:$B$304))))</f>
        <v/>
      </c>
      <c r="I5" s="65">
        <f>IF(I4="","",IF(COUNTIF(Submissions!$A$5:$A$304,I4)=0,"",SUMPRODUCT(MAX((Submissions!$A$5:$A$304=I4)*Submissions!$B$5:$B$304))))</f>
        <v/>
      </c>
      <c r="J5" s="65">
        <f>IF(J4="","",IF(COUNTIF(Submissions!$A$5:$A$304,J4)=0,"",SUMPRODUCT(MAX((Submissions!$A$5:$A$304=J4)*Submissions!$B$5:$B$304))))</f>
        <v/>
      </c>
      <c r="K5" s="65">
        <f>IF(K4="","",IF(COUNTIF(Submissions!$A$5:$A$304,K4)=0,"",SUMPRODUCT(MAX((Submissions!$A$5:$A$304=K4)*Submissions!$B$5:$B$304))))</f>
        <v/>
      </c>
      <c r="L5" s="65">
        <f>IF(L4="","",IF(COUNTIF(Submissions!$A$5:$A$304,L4)=0,"",SUMPRODUCT(MAX((Submissions!$A$5:$A$304=L4)*Submissions!$B$5:$B$304))))</f>
        <v/>
      </c>
      <c r="M5" s="65">
        <f>IF(M4="","",IF(COUNTIF(Submissions!$A$5:$A$304,M4)=0,"",SUMPRODUCT(MAX((Submissions!$A$5:$A$304=M4)*Submissions!$B$5:$B$304))))</f>
        <v/>
      </c>
      <c r="N5" s="65">
        <f>IF(N4="","",IF(COUNTIF(Submissions!$A$5:$A$304,N4)=0,"",SUMPRODUCT(MAX((Submissions!$A$5:$A$304=N4)*Submissions!$B$5:$B$304))))</f>
        <v/>
      </c>
    </row>
    <row r="6" ht="30" customHeight="1" s="34">
      <c r="A6" s="48" t="inlineStr">
        <is>
          <t>Line</t>
        </is>
      </c>
      <c r="B6" s="48" t="inlineStr">
        <is>
          <t>Parameter</t>
        </is>
      </c>
      <c r="C6" s="48" t="inlineStr">
        <is>
          <t>Class</t>
        </is>
      </c>
      <c r="D6" s="48" t="inlineStr">
        <is>
          <t>Required</t>
        </is>
      </c>
      <c r="E6" s="48" t="inlineStr">
        <is>
          <t>Status</t>
        </is>
      </c>
      <c r="F6" s="48" t="inlineStr">
        <is>
          <t>Status</t>
        </is>
      </c>
      <c r="G6" s="48" t="inlineStr">
        <is>
          <t>Status</t>
        </is>
      </c>
      <c r="H6" s="48" t="inlineStr">
        <is>
          <t>Status</t>
        </is>
      </c>
      <c r="I6" s="48" t="inlineStr">
        <is>
          <t>Status</t>
        </is>
      </c>
      <c r="J6" s="48" t="inlineStr">
        <is>
          <t>Status</t>
        </is>
      </c>
      <c r="K6" s="48" t="inlineStr">
        <is>
          <t>Status</t>
        </is>
      </c>
      <c r="L6" s="48" t="inlineStr">
        <is>
          <t>Status</t>
        </is>
      </c>
      <c r="M6" s="48" t="inlineStr">
        <is>
          <t>Status</t>
        </is>
      </c>
      <c r="N6" s="48" t="inlineStr">
        <is>
          <t>Status</t>
        </is>
      </c>
    </row>
    <row r="7" ht="15" customHeight="1" s="34">
      <c r="A7" s="66">
        <f>IF(Baseline!A20="","",Baseline!A20)</f>
        <v/>
      </c>
      <c r="B7" s="66">
        <f>IF($A7="","",Baseline!B20)</f>
        <v/>
      </c>
      <c r="C7" s="66">
        <f>IF($A7="","",Baseline!C20)</f>
        <v/>
      </c>
      <c r="D7" s="67">
        <f>IF($A7="","",IF(Baseline!E20="","",Baseline!E20))</f>
        <v/>
      </c>
      <c r="E7" s="68">
        <f>IF(OR($A7="",E$4=""),"",IFERROR(INDEX(Submissions!$L$5:$L$304,MATCH(E$4&amp;"|"&amp;E$5&amp;"|"&amp;$A7,Submissions!$Q$5:$Q$304,0)),"NO DATA"))</f>
        <v/>
      </c>
      <c r="F7" s="68">
        <f>IF(OR($A7="",F$4=""),"",IFERROR(INDEX(Submissions!$L$5:$L$304,MATCH(F$4&amp;"|"&amp;F$5&amp;"|"&amp;$A7,Submissions!$Q$5:$Q$304,0)),"NO DATA"))</f>
        <v/>
      </c>
      <c r="G7" s="68">
        <f>IF(OR($A7="",G$4=""),"",IFERROR(INDEX(Submissions!$L$5:$L$304,MATCH(G$4&amp;"|"&amp;G$5&amp;"|"&amp;$A7,Submissions!$Q$5:$Q$304,0)),"NO DATA"))</f>
        <v/>
      </c>
      <c r="H7" s="68">
        <f>IF(OR($A7="",H$4=""),"",IFERROR(INDEX(Submissions!$L$5:$L$304,MATCH(H$4&amp;"|"&amp;H$5&amp;"|"&amp;$A7,Submissions!$Q$5:$Q$304,0)),"NO DATA"))</f>
        <v/>
      </c>
      <c r="I7" s="68">
        <f>IF(OR($A7="",I$4=""),"",IFERROR(INDEX(Submissions!$L$5:$L$304,MATCH(I$4&amp;"|"&amp;I$5&amp;"|"&amp;$A7,Submissions!$Q$5:$Q$304,0)),"NO DATA"))</f>
        <v/>
      </c>
      <c r="J7" s="68">
        <f>IF(OR($A7="",J$4=""),"",IFERROR(INDEX(Submissions!$L$5:$L$304,MATCH(J$4&amp;"|"&amp;J$5&amp;"|"&amp;$A7,Submissions!$Q$5:$Q$304,0)),"NO DATA"))</f>
        <v/>
      </c>
      <c r="K7" s="68">
        <f>IF(OR($A7="",K$4=""),"",IFERROR(INDEX(Submissions!$L$5:$L$304,MATCH(K$4&amp;"|"&amp;K$5&amp;"|"&amp;$A7,Submissions!$Q$5:$Q$304,0)),"NO DATA"))</f>
        <v/>
      </c>
      <c r="L7" s="68">
        <f>IF(OR($A7="",L$4=""),"",IFERROR(INDEX(Submissions!$L$5:$L$304,MATCH(L$4&amp;"|"&amp;L$5&amp;"|"&amp;$A7,Submissions!$Q$5:$Q$304,0)),"NO DATA"))</f>
        <v/>
      </c>
      <c r="M7" s="68">
        <f>IF(OR($A7="",M$4=""),"",IFERROR(INDEX(Submissions!$L$5:$L$304,MATCH(M$4&amp;"|"&amp;M$5&amp;"|"&amp;$A7,Submissions!$Q$5:$Q$304,0)),"NO DATA"))</f>
        <v/>
      </c>
      <c r="N7" s="68">
        <f>IF(OR($A7="",N$4=""),"",IFERROR(INDEX(Submissions!$L$5:$L$304,MATCH(N$4&amp;"|"&amp;N$5&amp;"|"&amp;$A7,Submissions!$Q$5:$Q$304,0)),"NO DATA"))</f>
        <v/>
      </c>
    </row>
    <row r="8" ht="15" customHeight="1" s="34">
      <c r="A8" s="66">
        <f>IF(Baseline!A21="","",Baseline!A21)</f>
        <v/>
      </c>
      <c r="B8" s="66">
        <f>IF($A8="","",Baseline!B21)</f>
        <v/>
      </c>
      <c r="C8" s="66">
        <f>IF($A8="","",Baseline!C21)</f>
        <v/>
      </c>
      <c r="D8" s="67">
        <f>IF($A8="","",IF(Baseline!E21="","",Baseline!E21))</f>
        <v/>
      </c>
      <c r="E8" s="68">
        <f>IF(OR($A8="",E$4=""),"",IFERROR(INDEX(Submissions!$L$5:$L$304,MATCH(E$4&amp;"|"&amp;E$5&amp;"|"&amp;$A8,Submissions!$Q$5:$Q$304,0)),"NO DATA"))</f>
        <v/>
      </c>
      <c r="F8" s="68">
        <f>IF(OR($A8="",F$4=""),"",IFERROR(INDEX(Submissions!$L$5:$L$304,MATCH(F$4&amp;"|"&amp;F$5&amp;"|"&amp;$A8,Submissions!$Q$5:$Q$304,0)),"NO DATA"))</f>
        <v/>
      </c>
      <c r="G8" s="68">
        <f>IF(OR($A8="",G$4=""),"",IFERROR(INDEX(Submissions!$L$5:$L$304,MATCH(G$4&amp;"|"&amp;G$5&amp;"|"&amp;$A8,Submissions!$Q$5:$Q$304,0)),"NO DATA"))</f>
        <v/>
      </c>
      <c r="H8" s="68">
        <f>IF(OR($A8="",H$4=""),"",IFERROR(INDEX(Submissions!$L$5:$L$304,MATCH(H$4&amp;"|"&amp;H$5&amp;"|"&amp;$A8,Submissions!$Q$5:$Q$304,0)),"NO DATA"))</f>
        <v/>
      </c>
      <c r="I8" s="68">
        <f>IF(OR($A8="",I$4=""),"",IFERROR(INDEX(Submissions!$L$5:$L$304,MATCH(I$4&amp;"|"&amp;I$5&amp;"|"&amp;$A8,Submissions!$Q$5:$Q$304,0)),"NO DATA"))</f>
        <v/>
      </c>
      <c r="J8" s="68">
        <f>IF(OR($A8="",J$4=""),"",IFERROR(INDEX(Submissions!$L$5:$L$304,MATCH(J$4&amp;"|"&amp;J$5&amp;"|"&amp;$A8,Submissions!$Q$5:$Q$304,0)),"NO DATA"))</f>
        <v/>
      </c>
      <c r="K8" s="68">
        <f>IF(OR($A8="",K$4=""),"",IFERROR(INDEX(Submissions!$L$5:$L$304,MATCH(K$4&amp;"|"&amp;K$5&amp;"|"&amp;$A8,Submissions!$Q$5:$Q$304,0)),"NO DATA"))</f>
        <v/>
      </c>
      <c r="L8" s="68">
        <f>IF(OR($A8="",L$4=""),"",IFERROR(INDEX(Submissions!$L$5:$L$304,MATCH(L$4&amp;"|"&amp;L$5&amp;"|"&amp;$A8,Submissions!$Q$5:$Q$304,0)),"NO DATA"))</f>
        <v/>
      </c>
      <c r="M8" s="68">
        <f>IF(OR($A8="",M$4=""),"",IFERROR(INDEX(Submissions!$L$5:$L$304,MATCH(M$4&amp;"|"&amp;M$5&amp;"|"&amp;$A8,Submissions!$Q$5:$Q$304,0)),"NO DATA"))</f>
        <v/>
      </c>
      <c r="N8" s="68">
        <f>IF(OR($A8="",N$4=""),"",IFERROR(INDEX(Submissions!$L$5:$L$304,MATCH(N$4&amp;"|"&amp;N$5&amp;"|"&amp;$A8,Submissions!$Q$5:$Q$304,0)),"NO DATA"))</f>
        <v/>
      </c>
    </row>
    <row r="9" ht="15" customHeight="1" s="34">
      <c r="A9" s="66">
        <f>IF(Baseline!A22="","",Baseline!A22)</f>
        <v/>
      </c>
      <c r="B9" s="66">
        <f>IF($A9="","",Baseline!B22)</f>
        <v/>
      </c>
      <c r="C9" s="66">
        <f>IF($A9="","",Baseline!C22)</f>
        <v/>
      </c>
      <c r="D9" s="67">
        <f>IF($A9="","",IF(Baseline!E22="","",Baseline!E22))</f>
        <v/>
      </c>
      <c r="E9" s="68">
        <f>IF(OR($A9="",E$4=""),"",IFERROR(INDEX(Submissions!$L$5:$L$304,MATCH(E$4&amp;"|"&amp;E$5&amp;"|"&amp;$A9,Submissions!$Q$5:$Q$304,0)),"NO DATA"))</f>
        <v/>
      </c>
      <c r="F9" s="68">
        <f>IF(OR($A9="",F$4=""),"",IFERROR(INDEX(Submissions!$L$5:$L$304,MATCH(F$4&amp;"|"&amp;F$5&amp;"|"&amp;$A9,Submissions!$Q$5:$Q$304,0)),"NO DATA"))</f>
        <v/>
      </c>
      <c r="G9" s="68">
        <f>IF(OR($A9="",G$4=""),"",IFERROR(INDEX(Submissions!$L$5:$L$304,MATCH(G$4&amp;"|"&amp;G$5&amp;"|"&amp;$A9,Submissions!$Q$5:$Q$304,0)),"NO DATA"))</f>
        <v/>
      </c>
      <c r="H9" s="68">
        <f>IF(OR($A9="",H$4=""),"",IFERROR(INDEX(Submissions!$L$5:$L$304,MATCH(H$4&amp;"|"&amp;H$5&amp;"|"&amp;$A9,Submissions!$Q$5:$Q$304,0)),"NO DATA"))</f>
        <v/>
      </c>
      <c r="I9" s="68">
        <f>IF(OR($A9="",I$4=""),"",IFERROR(INDEX(Submissions!$L$5:$L$304,MATCH(I$4&amp;"|"&amp;I$5&amp;"|"&amp;$A9,Submissions!$Q$5:$Q$304,0)),"NO DATA"))</f>
        <v/>
      </c>
      <c r="J9" s="68">
        <f>IF(OR($A9="",J$4=""),"",IFERROR(INDEX(Submissions!$L$5:$L$304,MATCH(J$4&amp;"|"&amp;J$5&amp;"|"&amp;$A9,Submissions!$Q$5:$Q$304,0)),"NO DATA"))</f>
        <v/>
      </c>
      <c r="K9" s="68">
        <f>IF(OR($A9="",K$4=""),"",IFERROR(INDEX(Submissions!$L$5:$L$304,MATCH(K$4&amp;"|"&amp;K$5&amp;"|"&amp;$A9,Submissions!$Q$5:$Q$304,0)),"NO DATA"))</f>
        <v/>
      </c>
      <c r="L9" s="68">
        <f>IF(OR($A9="",L$4=""),"",IFERROR(INDEX(Submissions!$L$5:$L$304,MATCH(L$4&amp;"|"&amp;L$5&amp;"|"&amp;$A9,Submissions!$Q$5:$Q$304,0)),"NO DATA"))</f>
        <v/>
      </c>
      <c r="M9" s="68">
        <f>IF(OR($A9="",M$4=""),"",IFERROR(INDEX(Submissions!$L$5:$L$304,MATCH(M$4&amp;"|"&amp;M$5&amp;"|"&amp;$A9,Submissions!$Q$5:$Q$304,0)),"NO DATA"))</f>
        <v/>
      </c>
      <c r="N9" s="68">
        <f>IF(OR($A9="",N$4=""),"",IFERROR(INDEX(Submissions!$L$5:$L$304,MATCH(N$4&amp;"|"&amp;N$5&amp;"|"&amp;$A9,Submissions!$Q$5:$Q$304,0)),"NO DATA"))</f>
        <v/>
      </c>
    </row>
    <row r="10" ht="15" customHeight="1" s="34">
      <c r="A10" s="66">
        <f>IF(Baseline!A23="","",Baseline!A23)</f>
        <v/>
      </c>
      <c r="B10" s="66">
        <f>IF($A10="","",Baseline!B23)</f>
        <v/>
      </c>
      <c r="C10" s="66">
        <f>IF($A10="","",Baseline!C23)</f>
        <v/>
      </c>
      <c r="D10" s="69">
        <f>IF($A10="","",IF(Baseline!E23="","",Baseline!E23))</f>
        <v/>
      </c>
      <c r="E10" s="68">
        <f>IF(OR($A10="",E$4=""),"",IFERROR(INDEX(Submissions!$L$5:$L$304,MATCH(E$4&amp;"|"&amp;E$5&amp;"|"&amp;$A10,Submissions!$Q$5:$Q$304,0)),"NO DATA"))</f>
        <v/>
      </c>
      <c r="F10" s="68">
        <f>IF(OR($A10="",F$4=""),"",IFERROR(INDEX(Submissions!$L$5:$L$304,MATCH(F$4&amp;"|"&amp;F$5&amp;"|"&amp;$A10,Submissions!$Q$5:$Q$304,0)),"NO DATA"))</f>
        <v/>
      </c>
      <c r="G10" s="68">
        <f>IF(OR($A10="",G$4=""),"",IFERROR(INDEX(Submissions!$L$5:$L$304,MATCH(G$4&amp;"|"&amp;G$5&amp;"|"&amp;$A10,Submissions!$Q$5:$Q$304,0)),"NO DATA"))</f>
        <v/>
      </c>
      <c r="H10" s="68">
        <f>IF(OR($A10="",H$4=""),"",IFERROR(INDEX(Submissions!$L$5:$L$304,MATCH(H$4&amp;"|"&amp;H$5&amp;"|"&amp;$A10,Submissions!$Q$5:$Q$304,0)),"NO DATA"))</f>
        <v/>
      </c>
      <c r="I10" s="68">
        <f>IF(OR($A10="",I$4=""),"",IFERROR(INDEX(Submissions!$L$5:$L$304,MATCH(I$4&amp;"|"&amp;I$5&amp;"|"&amp;$A10,Submissions!$Q$5:$Q$304,0)),"NO DATA"))</f>
        <v/>
      </c>
      <c r="J10" s="68">
        <f>IF(OR($A10="",J$4=""),"",IFERROR(INDEX(Submissions!$L$5:$L$304,MATCH(J$4&amp;"|"&amp;J$5&amp;"|"&amp;$A10,Submissions!$Q$5:$Q$304,0)),"NO DATA"))</f>
        <v/>
      </c>
      <c r="K10" s="68">
        <f>IF(OR($A10="",K$4=""),"",IFERROR(INDEX(Submissions!$L$5:$L$304,MATCH(K$4&amp;"|"&amp;K$5&amp;"|"&amp;$A10,Submissions!$Q$5:$Q$304,0)),"NO DATA"))</f>
        <v/>
      </c>
      <c r="L10" s="68">
        <f>IF(OR($A10="",L$4=""),"",IFERROR(INDEX(Submissions!$L$5:$L$304,MATCH(L$4&amp;"|"&amp;L$5&amp;"|"&amp;$A10,Submissions!$Q$5:$Q$304,0)),"NO DATA"))</f>
        <v/>
      </c>
      <c r="M10" s="68">
        <f>IF(OR($A10="",M$4=""),"",IFERROR(INDEX(Submissions!$L$5:$L$304,MATCH(M$4&amp;"|"&amp;M$5&amp;"|"&amp;$A10,Submissions!$Q$5:$Q$304,0)),"NO DATA"))</f>
        <v/>
      </c>
      <c r="N10" s="68">
        <f>IF(OR($A10="",N$4=""),"",IFERROR(INDEX(Submissions!$L$5:$L$304,MATCH(N$4&amp;"|"&amp;N$5&amp;"|"&amp;$A10,Submissions!$Q$5:$Q$304,0)),"NO DATA"))</f>
        <v/>
      </c>
    </row>
    <row r="11" ht="15" customHeight="1" s="34">
      <c r="A11" s="66">
        <f>IF(Baseline!A24="","",Baseline!A24)</f>
        <v/>
      </c>
      <c r="B11" s="66">
        <f>IF($A11="","",Baseline!B24)</f>
        <v/>
      </c>
      <c r="C11" s="66">
        <f>IF($A11="","",Baseline!C24)</f>
        <v/>
      </c>
      <c r="D11" s="69">
        <f>IF($A11="","",IF(Baseline!E24="","",Baseline!E24))</f>
        <v/>
      </c>
      <c r="E11" s="68">
        <f>IF(OR($A11="",E$4=""),"",IFERROR(INDEX(Submissions!$L$5:$L$304,MATCH(E$4&amp;"|"&amp;E$5&amp;"|"&amp;$A11,Submissions!$Q$5:$Q$304,0)),"NO DATA"))</f>
        <v/>
      </c>
      <c r="F11" s="68">
        <f>IF(OR($A11="",F$4=""),"",IFERROR(INDEX(Submissions!$L$5:$L$304,MATCH(F$4&amp;"|"&amp;F$5&amp;"|"&amp;$A11,Submissions!$Q$5:$Q$304,0)),"NO DATA"))</f>
        <v/>
      </c>
      <c r="G11" s="68">
        <f>IF(OR($A11="",G$4=""),"",IFERROR(INDEX(Submissions!$L$5:$L$304,MATCH(G$4&amp;"|"&amp;G$5&amp;"|"&amp;$A11,Submissions!$Q$5:$Q$304,0)),"NO DATA"))</f>
        <v/>
      </c>
      <c r="H11" s="68">
        <f>IF(OR($A11="",H$4=""),"",IFERROR(INDEX(Submissions!$L$5:$L$304,MATCH(H$4&amp;"|"&amp;H$5&amp;"|"&amp;$A11,Submissions!$Q$5:$Q$304,0)),"NO DATA"))</f>
        <v/>
      </c>
      <c r="I11" s="68">
        <f>IF(OR($A11="",I$4=""),"",IFERROR(INDEX(Submissions!$L$5:$L$304,MATCH(I$4&amp;"|"&amp;I$5&amp;"|"&amp;$A11,Submissions!$Q$5:$Q$304,0)),"NO DATA"))</f>
        <v/>
      </c>
      <c r="J11" s="68">
        <f>IF(OR($A11="",J$4=""),"",IFERROR(INDEX(Submissions!$L$5:$L$304,MATCH(J$4&amp;"|"&amp;J$5&amp;"|"&amp;$A11,Submissions!$Q$5:$Q$304,0)),"NO DATA"))</f>
        <v/>
      </c>
      <c r="K11" s="68">
        <f>IF(OR($A11="",K$4=""),"",IFERROR(INDEX(Submissions!$L$5:$L$304,MATCH(K$4&amp;"|"&amp;K$5&amp;"|"&amp;$A11,Submissions!$Q$5:$Q$304,0)),"NO DATA"))</f>
        <v/>
      </c>
      <c r="L11" s="68">
        <f>IF(OR($A11="",L$4=""),"",IFERROR(INDEX(Submissions!$L$5:$L$304,MATCH(L$4&amp;"|"&amp;L$5&amp;"|"&amp;$A11,Submissions!$Q$5:$Q$304,0)),"NO DATA"))</f>
        <v/>
      </c>
      <c r="M11" s="68">
        <f>IF(OR($A11="",M$4=""),"",IFERROR(INDEX(Submissions!$L$5:$L$304,MATCH(M$4&amp;"|"&amp;M$5&amp;"|"&amp;$A11,Submissions!$Q$5:$Q$304,0)),"NO DATA"))</f>
        <v/>
      </c>
      <c r="N11" s="68">
        <f>IF(OR($A11="",N$4=""),"",IFERROR(INDEX(Submissions!$L$5:$L$304,MATCH(N$4&amp;"|"&amp;N$5&amp;"|"&amp;$A11,Submissions!$Q$5:$Q$304,0)),"NO DATA"))</f>
        <v/>
      </c>
    </row>
    <row r="12" ht="15" customHeight="1" s="34">
      <c r="A12" s="66">
        <f>IF(Baseline!A25="","",Baseline!A25)</f>
        <v/>
      </c>
      <c r="B12" s="66">
        <f>IF($A12="","",Baseline!B25)</f>
        <v/>
      </c>
      <c r="C12" s="66">
        <f>IF($A12="","",Baseline!C25)</f>
        <v/>
      </c>
      <c r="D12" s="67">
        <f>IF($A12="","",IF(Baseline!E25="","",Baseline!E25))</f>
        <v/>
      </c>
      <c r="E12" s="68">
        <f>IF(OR($A12="",E$4=""),"",IFERROR(INDEX(Submissions!$L$5:$L$304,MATCH(E$4&amp;"|"&amp;E$5&amp;"|"&amp;$A12,Submissions!$Q$5:$Q$304,0)),"NO DATA"))</f>
        <v/>
      </c>
      <c r="F12" s="68">
        <f>IF(OR($A12="",F$4=""),"",IFERROR(INDEX(Submissions!$L$5:$L$304,MATCH(F$4&amp;"|"&amp;F$5&amp;"|"&amp;$A12,Submissions!$Q$5:$Q$304,0)),"NO DATA"))</f>
        <v/>
      </c>
      <c r="G12" s="68">
        <f>IF(OR($A12="",G$4=""),"",IFERROR(INDEX(Submissions!$L$5:$L$304,MATCH(G$4&amp;"|"&amp;G$5&amp;"|"&amp;$A12,Submissions!$Q$5:$Q$304,0)),"NO DATA"))</f>
        <v/>
      </c>
      <c r="H12" s="68">
        <f>IF(OR($A12="",H$4=""),"",IFERROR(INDEX(Submissions!$L$5:$L$304,MATCH(H$4&amp;"|"&amp;H$5&amp;"|"&amp;$A12,Submissions!$Q$5:$Q$304,0)),"NO DATA"))</f>
        <v/>
      </c>
      <c r="I12" s="68">
        <f>IF(OR($A12="",I$4=""),"",IFERROR(INDEX(Submissions!$L$5:$L$304,MATCH(I$4&amp;"|"&amp;I$5&amp;"|"&amp;$A12,Submissions!$Q$5:$Q$304,0)),"NO DATA"))</f>
        <v/>
      </c>
      <c r="J12" s="68">
        <f>IF(OR($A12="",J$4=""),"",IFERROR(INDEX(Submissions!$L$5:$L$304,MATCH(J$4&amp;"|"&amp;J$5&amp;"|"&amp;$A12,Submissions!$Q$5:$Q$304,0)),"NO DATA"))</f>
        <v/>
      </c>
      <c r="K12" s="68">
        <f>IF(OR($A12="",K$4=""),"",IFERROR(INDEX(Submissions!$L$5:$L$304,MATCH(K$4&amp;"|"&amp;K$5&amp;"|"&amp;$A12,Submissions!$Q$5:$Q$304,0)),"NO DATA"))</f>
        <v/>
      </c>
      <c r="L12" s="68">
        <f>IF(OR($A12="",L$4=""),"",IFERROR(INDEX(Submissions!$L$5:$L$304,MATCH(L$4&amp;"|"&amp;L$5&amp;"|"&amp;$A12,Submissions!$Q$5:$Q$304,0)),"NO DATA"))</f>
        <v/>
      </c>
      <c r="M12" s="68">
        <f>IF(OR($A12="",M$4=""),"",IFERROR(INDEX(Submissions!$L$5:$L$304,MATCH(M$4&amp;"|"&amp;M$5&amp;"|"&amp;$A12,Submissions!$Q$5:$Q$304,0)),"NO DATA"))</f>
        <v/>
      </c>
      <c r="N12" s="68">
        <f>IF(OR($A12="",N$4=""),"",IFERROR(INDEX(Submissions!$L$5:$L$304,MATCH(N$4&amp;"|"&amp;N$5&amp;"|"&amp;$A12,Submissions!$Q$5:$Q$304,0)),"NO DATA"))</f>
        <v/>
      </c>
    </row>
    <row r="13" ht="15" customHeight="1" s="34">
      <c r="A13" s="66">
        <f>IF(Baseline!A26="","",Baseline!A26)</f>
        <v/>
      </c>
      <c r="B13" s="66">
        <f>IF($A13="","",Baseline!B26)</f>
        <v/>
      </c>
      <c r="C13" s="66">
        <f>IF($A13="","",Baseline!C26)</f>
        <v/>
      </c>
      <c r="D13" s="67">
        <f>IF($A13="","",IF(Baseline!E26="","",Baseline!E26))</f>
        <v/>
      </c>
      <c r="E13" s="68">
        <f>IF(OR($A13="",E$4=""),"",IFERROR(INDEX(Submissions!$L$5:$L$304,MATCH(E$4&amp;"|"&amp;E$5&amp;"|"&amp;$A13,Submissions!$Q$5:$Q$304,0)),"NO DATA"))</f>
        <v/>
      </c>
      <c r="F13" s="68">
        <f>IF(OR($A13="",F$4=""),"",IFERROR(INDEX(Submissions!$L$5:$L$304,MATCH(F$4&amp;"|"&amp;F$5&amp;"|"&amp;$A13,Submissions!$Q$5:$Q$304,0)),"NO DATA"))</f>
        <v/>
      </c>
      <c r="G13" s="68">
        <f>IF(OR($A13="",G$4=""),"",IFERROR(INDEX(Submissions!$L$5:$L$304,MATCH(G$4&amp;"|"&amp;G$5&amp;"|"&amp;$A13,Submissions!$Q$5:$Q$304,0)),"NO DATA"))</f>
        <v/>
      </c>
      <c r="H13" s="68">
        <f>IF(OR($A13="",H$4=""),"",IFERROR(INDEX(Submissions!$L$5:$L$304,MATCH(H$4&amp;"|"&amp;H$5&amp;"|"&amp;$A13,Submissions!$Q$5:$Q$304,0)),"NO DATA"))</f>
        <v/>
      </c>
      <c r="I13" s="68">
        <f>IF(OR($A13="",I$4=""),"",IFERROR(INDEX(Submissions!$L$5:$L$304,MATCH(I$4&amp;"|"&amp;I$5&amp;"|"&amp;$A13,Submissions!$Q$5:$Q$304,0)),"NO DATA"))</f>
        <v/>
      </c>
      <c r="J13" s="68">
        <f>IF(OR($A13="",J$4=""),"",IFERROR(INDEX(Submissions!$L$5:$L$304,MATCH(J$4&amp;"|"&amp;J$5&amp;"|"&amp;$A13,Submissions!$Q$5:$Q$304,0)),"NO DATA"))</f>
        <v/>
      </c>
      <c r="K13" s="68">
        <f>IF(OR($A13="",K$4=""),"",IFERROR(INDEX(Submissions!$L$5:$L$304,MATCH(K$4&amp;"|"&amp;K$5&amp;"|"&amp;$A13,Submissions!$Q$5:$Q$304,0)),"NO DATA"))</f>
        <v/>
      </c>
      <c r="L13" s="68">
        <f>IF(OR($A13="",L$4=""),"",IFERROR(INDEX(Submissions!$L$5:$L$304,MATCH(L$4&amp;"|"&amp;L$5&amp;"|"&amp;$A13,Submissions!$Q$5:$Q$304,0)),"NO DATA"))</f>
        <v/>
      </c>
      <c r="M13" s="68">
        <f>IF(OR($A13="",M$4=""),"",IFERROR(INDEX(Submissions!$L$5:$L$304,MATCH(M$4&amp;"|"&amp;M$5&amp;"|"&amp;$A13,Submissions!$Q$5:$Q$304,0)),"NO DATA"))</f>
        <v/>
      </c>
      <c r="N13" s="68">
        <f>IF(OR($A13="",N$4=""),"",IFERROR(INDEX(Submissions!$L$5:$L$304,MATCH(N$4&amp;"|"&amp;N$5&amp;"|"&amp;$A13,Submissions!$Q$5:$Q$304,0)),"NO DATA"))</f>
        <v/>
      </c>
    </row>
    <row r="14" ht="15" customHeight="1" s="34">
      <c r="A14" s="66">
        <f>IF(Baseline!A27="","",Baseline!A27)</f>
        <v/>
      </c>
      <c r="B14" s="66">
        <f>IF($A14="","",Baseline!B27)</f>
        <v/>
      </c>
      <c r="C14" s="66">
        <f>IF($A14="","",Baseline!C27)</f>
        <v/>
      </c>
      <c r="D14" s="67">
        <f>IF($A14="","",IF(Baseline!E27="","",Baseline!E27))</f>
        <v/>
      </c>
      <c r="E14" s="68">
        <f>IF(OR($A14="",E$4=""),"",IFERROR(INDEX(Submissions!$L$5:$L$304,MATCH(E$4&amp;"|"&amp;E$5&amp;"|"&amp;$A14,Submissions!$Q$5:$Q$304,0)),"NO DATA"))</f>
        <v/>
      </c>
      <c r="F14" s="68">
        <f>IF(OR($A14="",F$4=""),"",IFERROR(INDEX(Submissions!$L$5:$L$304,MATCH(F$4&amp;"|"&amp;F$5&amp;"|"&amp;$A14,Submissions!$Q$5:$Q$304,0)),"NO DATA"))</f>
        <v/>
      </c>
      <c r="G14" s="68">
        <f>IF(OR($A14="",G$4=""),"",IFERROR(INDEX(Submissions!$L$5:$L$304,MATCH(G$4&amp;"|"&amp;G$5&amp;"|"&amp;$A14,Submissions!$Q$5:$Q$304,0)),"NO DATA"))</f>
        <v/>
      </c>
      <c r="H14" s="68">
        <f>IF(OR($A14="",H$4=""),"",IFERROR(INDEX(Submissions!$L$5:$L$304,MATCH(H$4&amp;"|"&amp;H$5&amp;"|"&amp;$A14,Submissions!$Q$5:$Q$304,0)),"NO DATA"))</f>
        <v/>
      </c>
      <c r="I14" s="68">
        <f>IF(OR($A14="",I$4=""),"",IFERROR(INDEX(Submissions!$L$5:$L$304,MATCH(I$4&amp;"|"&amp;I$5&amp;"|"&amp;$A14,Submissions!$Q$5:$Q$304,0)),"NO DATA"))</f>
        <v/>
      </c>
      <c r="J14" s="68">
        <f>IF(OR($A14="",J$4=""),"",IFERROR(INDEX(Submissions!$L$5:$L$304,MATCH(J$4&amp;"|"&amp;J$5&amp;"|"&amp;$A14,Submissions!$Q$5:$Q$304,0)),"NO DATA"))</f>
        <v/>
      </c>
      <c r="K14" s="68">
        <f>IF(OR($A14="",K$4=""),"",IFERROR(INDEX(Submissions!$L$5:$L$304,MATCH(K$4&amp;"|"&amp;K$5&amp;"|"&amp;$A14,Submissions!$Q$5:$Q$304,0)),"NO DATA"))</f>
        <v/>
      </c>
      <c r="L14" s="68">
        <f>IF(OR($A14="",L$4=""),"",IFERROR(INDEX(Submissions!$L$5:$L$304,MATCH(L$4&amp;"|"&amp;L$5&amp;"|"&amp;$A14,Submissions!$Q$5:$Q$304,0)),"NO DATA"))</f>
        <v/>
      </c>
      <c r="M14" s="68">
        <f>IF(OR($A14="",M$4=""),"",IFERROR(INDEX(Submissions!$L$5:$L$304,MATCH(M$4&amp;"|"&amp;M$5&amp;"|"&amp;$A14,Submissions!$Q$5:$Q$304,0)),"NO DATA"))</f>
        <v/>
      </c>
      <c r="N14" s="68">
        <f>IF(OR($A14="",N$4=""),"",IFERROR(INDEX(Submissions!$L$5:$L$304,MATCH(N$4&amp;"|"&amp;N$5&amp;"|"&amp;$A14,Submissions!$Q$5:$Q$304,0)),"NO DATA"))</f>
        <v/>
      </c>
    </row>
    <row r="15" ht="15" customHeight="1" s="34">
      <c r="A15" s="66">
        <f>IF(Baseline!A28="","",Baseline!A28)</f>
        <v/>
      </c>
      <c r="B15" s="66">
        <f>IF($A15="","",Baseline!B28)</f>
        <v/>
      </c>
      <c r="C15" s="66">
        <f>IF($A15="","",Baseline!C28)</f>
        <v/>
      </c>
      <c r="D15" s="67">
        <f>IF($A15="","",IF(Baseline!E28="","",Baseline!E28))</f>
        <v/>
      </c>
      <c r="E15" s="68">
        <f>IF(OR($A15="",E$4=""),"",IFERROR(INDEX(Submissions!$L$5:$L$304,MATCH(E$4&amp;"|"&amp;E$5&amp;"|"&amp;$A15,Submissions!$Q$5:$Q$304,0)),"NO DATA"))</f>
        <v/>
      </c>
      <c r="F15" s="68">
        <f>IF(OR($A15="",F$4=""),"",IFERROR(INDEX(Submissions!$L$5:$L$304,MATCH(F$4&amp;"|"&amp;F$5&amp;"|"&amp;$A15,Submissions!$Q$5:$Q$304,0)),"NO DATA"))</f>
        <v/>
      </c>
      <c r="G15" s="68">
        <f>IF(OR($A15="",G$4=""),"",IFERROR(INDEX(Submissions!$L$5:$L$304,MATCH(G$4&amp;"|"&amp;G$5&amp;"|"&amp;$A15,Submissions!$Q$5:$Q$304,0)),"NO DATA"))</f>
        <v/>
      </c>
      <c r="H15" s="68">
        <f>IF(OR($A15="",H$4=""),"",IFERROR(INDEX(Submissions!$L$5:$L$304,MATCH(H$4&amp;"|"&amp;H$5&amp;"|"&amp;$A15,Submissions!$Q$5:$Q$304,0)),"NO DATA"))</f>
        <v/>
      </c>
      <c r="I15" s="68">
        <f>IF(OR($A15="",I$4=""),"",IFERROR(INDEX(Submissions!$L$5:$L$304,MATCH(I$4&amp;"|"&amp;I$5&amp;"|"&amp;$A15,Submissions!$Q$5:$Q$304,0)),"NO DATA"))</f>
        <v/>
      </c>
      <c r="J15" s="68">
        <f>IF(OR($A15="",J$4=""),"",IFERROR(INDEX(Submissions!$L$5:$L$304,MATCH(J$4&amp;"|"&amp;J$5&amp;"|"&amp;$A15,Submissions!$Q$5:$Q$304,0)),"NO DATA"))</f>
        <v/>
      </c>
      <c r="K15" s="68">
        <f>IF(OR($A15="",K$4=""),"",IFERROR(INDEX(Submissions!$L$5:$L$304,MATCH(K$4&amp;"|"&amp;K$5&amp;"|"&amp;$A15,Submissions!$Q$5:$Q$304,0)),"NO DATA"))</f>
        <v/>
      </c>
      <c r="L15" s="68">
        <f>IF(OR($A15="",L$4=""),"",IFERROR(INDEX(Submissions!$L$5:$L$304,MATCH(L$4&amp;"|"&amp;L$5&amp;"|"&amp;$A15,Submissions!$Q$5:$Q$304,0)),"NO DATA"))</f>
        <v/>
      </c>
      <c r="M15" s="68">
        <f>IF(OR($A15="",M$4=""),"",IFERROR(INDEX(Submissions!$L$5:$L$304,MATCH(M$4&amp;"|"&amp;M$5&amp;"|"&amp;$A15,Submissions!$Q$5:$Q$304,0)),"NO DATA"))</f>
        <v/>
      </c>
      <c r="N15" s="68">
        <f>IF(OR($A15="",N$4=""),"",IFERROR(INDEX(Submissions!$L$5:$L$304,MATCH(N$4&amp;"|"&amp;N$5&amp;"|"&amp;$A15,Submissions!$Q$5:$Q$304,0)),"NO DATA"))</f>
        <v/>
      </c>
    </row>
    <row r="16" ht="15" customHeight="1" s="34">
      <c r="A16" s="66">
        <f>IF(Baseline!A29="","",Baseline!A29)</f>
        <v/>
      </c>
      <c r="B16" s="66">
        <f>IF($A16="","",Baseline!B29)</f>
        <v/>
      </c>
      <c r="C16" s="66">
        <f>IF($A16="","",Baseline!C29)</f>
        <v/>
      </c>
      <c r="D16" s="67">
        <f>IF($A16="","",IF(Baseline!E29="","",Baseline!E29))</f>
        <v/>
      </c>
      <c r="E16" s="68">
        <f>IF(OR($A16="",E$4=""),"",IFERROR(INDEX(Submissions!$L$5:$L$304,MATCH(E$4&amp;"|"&amp;E$5&amp;"|"&amp;$A16,Submissions!$Q$5:$Q$304,0)),"NO DATA"))</f>
        <v/>
      </c>
      <c r="F16" s="68">
        <f>IF(OR($A16="",F$4=""),"",IFERROR(INDEX(Submissions!$L$5:$L$304,MATCH(F$4&amp;"|"&amp;F$5&amp;"|"&amp;$A16,Submissions!$Q$5:$Q$304,0)),"NO DATA"))</f>
        <v/>
      </c>
      <c r="G16" s="68">
        <f>IF(OR($A16="",G$4=""),"",IFERROR(INDEX(Submissions!$L$5:$L$304,MATCH(G$4&amp;"|"&amp;G$5&amp;"|"&amp;$A16,Submissions!$Q$5:$Q$304,0)),"NO DATA"))</f>
        <v/>
      </c>
      <c r="H16" s="68">
        <f>IF(OR($A16="",H$4=""),"",IFERROR(INDEX(Submissions!$L$5:$L$304,MATCH(H$4&amp;"|"&amp;H$5&amp;"|"&amp;$A16,Submissions!$Q$5:$Q$304,0)),"NO DATA"))</f>
        <v/>
      </c>
      <c r="I16" s="68">
        <f>IF(OR($A16="",I$4=""),"",IFERROR(INDEX(Submissions!$L$5:$L$304,MATCH(I$4&amp;"|"&amp;I$5&amp;"|"&amp;$A16,Submissions!$Q$5:$Q$304,0)),"NO DATA"))</f>
        <v/>
      </c>
      <c r="J16" s="68">
        <f>IF(OR($A16="",J$4=""),"",IFERROR(INDEX(Submissions!$L$5:$L$304,MATCH(J$4&amp;"|"&amp;J$5&amp;"|"&amp;$A16,Submissions!$Q$5:$Q$304,0)),"NO DATA"))</f>
        <v/>
      </c>
      <c r="K16" s="68">
        <f>IF(OR($A16="",K$4=""),"",IFERROR(INDEX(Submissions!$L$5:$L$304,MATCH(K$4&amp;"|"&amp;K$5&amp;"|"&amp;$A16,Submissions!$Q$5:$Q$304,0)),"NO DATA"))</f>
        <v/>
      </c>
      <c r="L16" s="68">
        <f>IF(OR($A16="",L$4=""),"",IFERROR(INDEX(Submissions!$L$5:$L$304,MATCH(L$4&amp;"|"&amp;L$5&amp;"|"&amp;$A16,Submissions!$Q$5:$Q$304,0)),"NO DATA"))</f>
        <v/>
      </c>
      <c r="M16" s="68">
        <f>IF(OR($A16="",M$4=""),"",IFERROR(INDEX(Submissions!$L$5:$L$304,MATCH(M$4&amp;"|"&amp;M$5&amp;"|"&amp;$A16,Submissions!$Q$5:$Q$304,0)),"NO DATA"))</f>
        <v/>
      </c>
      <c r="N16" s="68">
        <f>IF(OR($A16="",N$4=""),"",IFERROR(INDEX(Submissions!$L$5:$L$304,MATCH(N$4&amp;"|"&amp;N$5&amp;"|"&amp;$A16,Submissions!$Q$5:$Q$304,0)),"NO DATA"))</f>
        <v/>
      </c>
    </row>
    <row r="17" ht="15" customHeight="1" s="34">
      <c r="A17" s="66">
        <f>IF(Baseline!A30="","",Baseline!A30)</f>
        <v/>
      </c>
      <c r="B17" s="66">
        <f>IF($A17="","",Baseline!B30)</f>
        <v/>
      </c>
      <c r="C17" s="66">
        <f>IF($A17="","",Baseline!C30)</f>
        <v/>
      </c>
      <c r="D17" s="67">
        <f>IF($A17="","",IF(Baseline!E30="","",Baseline!E30))</f>
        <v/>
      </c>
      <c r="E17" s="68">
        <f>IF(OR($A17="",E$4=""),"",IFERROR(INDEX(Submissions!$L$5:$L$304,MATCH(E$4&amp;"|"&amp;E$5&amp;"|"&amp;$A17,Submissions!$Q$5:$Q$304,0)),"NO DATA"))</f>
        <v/>
      </c>
      <c r="F17" s="68">
        <f>IF(OR($A17="",F$4=""),"",IFERROR(INDEX(Submissions!$L$5:$L$304,MATCH(F$4&amp;"|"&amp;F$5&amp;"|"&amp;$A17,Submissions!$Q$5:$Q$304,0)),"NO DATA"))</f>
        <v/>
      </c>
      <c r="G17" s="68">
        <f>IF(OR($A17="",G$4=""),"",IFERROR(INDEX(Submissions!$L$5:$L$304,MATCH(G$4&amp;"|"&amp;G$5&amp;"|"&amp;$A17,Submissions!$Q$5:$Q$304,0)),"NO DATA"))</f>
        <v/>
      </c>
      <c r="H17" s="68">
        <f>IF(OR($A17="",H$4=""),"",IFERROR(INDEX(Submissions!$L$5:$L$304,MATCH(H$4&amp;"|"&amp;H$5&amp;"|"&amp;$A17,Submissions!$Q$5:$Q$304,0)),"NO DATA"))</f>
        <v/>
      </c>
      <c r="I17" s="68">
        <f>IF(OR($A17="",I$4=""),"",IFERROR(INDEX(Submissions!$L$5:$L$304,MATCH(I$4&amp;"|"&amp;I$5&amp;"|"&amp;$A17,Submissions!$Q$5:$Q$304,0)),"NO DATA"))</f>
        <v/>
      </c>
      <c r="J17" s="68">
        <f>IF(OR($A17="",J$4=""),"",IFERROR(INDEX(Submissions!$L$5:$L$304,MATCH(J$4&amp;"|"&amp;J$5&amp;"|"&amp;$A17,Submissions!$Q$5:$Q$304,0)),"NO DATA"))</f>
        <v/>
      </c>
      <c r="K17" s="68">
        <f>IF(OR($A17="",K$4=""),"",IFERROR(INDEX(Submissions!$L$5:$L$304,MATCH(K$4&amp;"|"&amp;K$5&amp;"|"&amp;$A17,Submissions!$Q$5:$Q$304,0)),"NO DATA"))</f>
        <v/>
      </c>
      <c r="L17" s="68">
        <f>IF(OR($A17="",L$4=""),"",IFERROR(INDEX(Submissions!$L$5:$L$304,MATCH(L$4&amp;"|"&amp;L$5&amp;"|"&amp;$A17,Submissions!$Q$5:$Q$304,0)),"NO DATA"))</f>
        <v/>
      </c>
      <c r="M17" s="68">
        <f>IF(OR($A17="",M$4=""),"",IFERROR(INDEX(Submissions!$L$5:$L$304,MATCH(M$4&amp;"|"&amp;M$5&amp;"|"&amp;$A17,Submissions!$Q$5:$Q$304,0)),"NO DATA"))</f>
        <v/>
      </c>
      <c r="N17" s="68">
        <f>IF(OR($A17="",N$4=""),"",IFERROR(INDEX(Submissions!$L$5:$L$304,MATCH(N$4&amp;"|"&amp;N$5&amp;"|"&amp;$A17,Submissions!$Q$5:$Q$304,0)),"NO DATA"))</f>
        <v/>
      </c>
    </row>
    <row r="18" ht="15" customHeight="1" s="34">
      <c r="A18" s="66">
        <f>IF(Baseline!A31="","",Baseline!A31)</f>
        <v/>
      </c>
      <c r="B18" s="66">
        <f>IF($A18="","",Baseline!B31)</f>
        <v/>
      </c>
      <c r="C18" s="66">
        <f>IF($A18="","",Baseline!C31)</f>
        <v/>
      </c>
      <c r="D18" s="67">
        <f>IF($A18="","",IF(Baseline!E31="","",Baseline!E31))</f>
        <v/>
      </c>
      <c r="E18" s="68">
        <f>IF(OR($A18="",E$4=""),"",IFERROR(INDEX(Submissions!$L$5:$L$304,MATCH(E$4&amp;"|"&amp;E$5&amp;"|"&amp;$A18,Submissions!$Q$5:$Q$304,0)),"NO DATA"))</f>
        <v/>
      </c>
      <c r="F18" s="68">
        <f>IF(OR($A18="",F$4=""),"",IFERROR(INDEX(Submissions!$L$5:$L$304,MATCH(F$4&amp;"|"&amp;F$5&amp;"|"&amp;$A18,Submissions!$Q$5:$Q$304,0)),"NO DATA"))</f>
        <v/>
      </c>
      <c r="G18" s="68">
        <f>IF(OR($A18="",G$4=""),"",IFERROR(INDEX(Submissions!$L$5:$L$304,MATCH(G$4&amp;"|"&amp;G$5&amp;"|"&amp;$A18,Submissions!$Q$5:$Q$304,0)),"NO DATA"))</f>
        <v/>
      </c>
      <c r="H18" s="68">
        <f>IF(OR($A18="",H$4=""),"",IFERROR(INDEX(Submissions!$L$5:$L$304,MATCH(H$4&amp;"|"&amp;H$5&amp;"|"&amp;$A18,Submissions!$Q$5:$Q$304,0)),"NO DATA"))</f>
        <v/>
      </c>
      <c r="I18" s="68">
        <f>IF(OR($A18="",I$4=""),"",IFERROR(INDEX(Submissions!$L$5:$L$304,MATCH(I$4&amp;"|"&amp;I$5&amp;"|"&amp;$A18,Submissions!$Q$5:$Q$304,0)),"NO DATA"))</f>
        <v/>
      </c>
      <c r="J18" s="68">
        <f>IF(OR($A18="",J$4=""),"",IFERROR(INDEX(Submissions!$L$5:$L$304,MATCH(J$4&amp;"|"&amp;J$5&amp;"|"&amp;$A18,Submissions!$Q$5:$Q$304,0)),"NO DATA"))</f>
        <v/>
      </c>
      <c r="K18" s="68">
        <f>IF(OR($A18="",K$4=""),"",IFERROR(INDEX(Submissions!$L$5:$L$304,MATCH(K$4&amp;"|"&amp;K$5&amp;"|"&amp;$A18,Submissions!$Q$5:$Q$304,0)),"NO DATA"))</f>
        <v/>
      </c>
      <c r="L18" s="68">
        <f>IF(OR($A18="",L$4=""),"",IFERROR(INDEX(Submissions!$L$5:$L$304,MATCH(L$4&amp;"|"&amp;L$5&amp;"|"&amp;$A18,Submissions!$Q$5:$Q$304,0)),"NO DATA"))</f>
        <v/>
      </c>
      <c r="M18" s="68">
        <f>IF(OR($A18="",M$4=""),"",IFERROR(INDEX(Submissions!$L$5:$L$304,MATCH(M$4&amp;"|"&amp;M$5&amp;"|"&amp;$A18,Submissions!$Q$5:$Q$304,0)),"NO DATA"))</f>
        <v/>
      </c>
      <c r="N18" s="68">
        <f>IF(OR($A18="",N$4=""),"",IFERROR(INDEX(Submissions!$L$5:$L$304,MATCH(N$4&amp;"|"&amp;N$5&amp;"|"&amp;$A18,Submissions!$Q$5:$Q$304,0)),"NO DATA"))</f>
        <v/>
      </c>
    </row>
    <row r="19" ht="15" customHeight="1" s="34">
      <c r="A19" s="66">
        <f>IF(Baseline!A32="","",Baseline!A32)</f>
        <v/>
      </c>
      <c r="B19" s="66">
        <f>IF($A19="","",Baseline!B32)</f>
        <v/>
      </c>
      <c r="C19" s="66">
        <f>IF($A19="","",Baseline!C32)</f>
        <v/>
      </c>
      <c r="D19" s="67">
        <f>IF($A19="","",IF(Baseline!E32="","",Baseline!E32))</f>
        <v/>
      </c>
      <c r="E19" s="68">
        <f>IF(OR($A19="",E$4=""),"",IFERROR(INDEX(Submissions!$L$5:$L$304,MATCH(E$4&amp;"|"&amp;E$5&amp;"|"&amp;$A19,Submissions!$Q$5:$Q$304,0)),"NO DATA"))</f>
        <v/>
      </c>
      <c r="F19" s="68">
        <f>IF(OR($A19="",F$4=""),"",IFERROR(INDEX(Submissions!$L$5:$L$304,MATCH(F$4&amp;"|"&amp;F$5&amp;"|"&amp;$A19,Submissions!$Q$5:$Q$304,0)),"NO DATA"))</f>
        <v/>
      </c>
      <c r="G19" s="68">
        <f>IF(OR($A19="",G$4=""),"",IFERROR(INDEX(Submissions!$L$5:$L$304,MATCH(G$4&amp;"|"&amp;G$5&amp;"|"&amp;$A19,Submissions!$Q$5:$Q$304,0)),"NO DATA"))</f>
        <v/>
      </c>
      <c r="H19" s="68">
        <f>IF(OR($A19="",H$4=""),"",IFERROR(INDEX(Submissions!$L$5:$L$304,MATCH(H$4&amp;"|"&amp;H$5&amp;"|"&amp;$A19,Submissions!$Q$5:$Q$304,0)),"NO DATA"))</f>
        <v/>
      </c>
      <c r="I19" s="68">
        <f>IF(OR($A19="",I$4=""),"",IFERROR(INDEX(Submissions!$L$5:$L$304,MATCH(I$4&amp;"|"&amp;I$5&amp;"|"&amp;$A19,Submissions!$Q$5:$Q$304,0)),"NO DATA"))</f>
        <v/>
      </c>
      <c r="J19" s="68">
        <f>IF(OR($A19="",J$4=""),"",IFERROR(INDEX(Submissions!$L$5:$L$304,MATCH(J$4&amp;"|"&amp;J$5&amp;"|"&amp;$A19,Submissions!$Q$5:$Q$304,0)),"NO DATA"))</f>
        <v/>
      </c>
      <c r="K19" s="68">
        <f>IF(OR($A19="",K$4=""),"",IFERROR(INDEX(Submissions!$L$5:$L$304,MATCH(K$4&amp;"|"&amp;K$5&amp;"|"&amp;$A19,Submissions!$Q$5:$Q$304,0)),"NO DATA"))</f>
        <v/>
      </c>
      <c r="L19" s="68">
        <f>IF(OR($A19="",L$4=""),"",IFERROR(INDEX(Submissions!$L$5:$L$304,MATCH(L$4&amp;"|"&amp;L$5&amp;"|"&amp;$A19,Submissions!$Q$5:$Q$304,0)),"NO DATA"))</f>
        <v/>
      </c>
      <c r="M19" s="68">
        <f>IF(OR($A19="",M$4=""),"",IFERROR(INDEX(Submissions!$L$5:$L$304,MATCH(M$4&amp;"|"&amp;M$5&amp;"|"&amp;$A19,Submissions!$Q$5:$Q$304,0)),"NO DATA"))</f>
        <v/>
      </c>
      <c r="N19" s="68">
        <f>IF(OR($A19="",N$4=""),"",IFERROR(INDEX(Submissions!$L$5:$L$304,MATCH(N$4&amp;"|"&amp;N$5&amp;"|"&amp;$A19,Submissions!$Q$5:$Q$304,0)),"NO DATA"))</f>
        <v/>
      </c>
    </row>
    <row r="20" ht="15" customHeight="1" s="34">
      <c r="A20" s="66">
        <f>IF(Baseline!A33="","",Baseline!A33)</f>
        <v/>
      </c>
      <c r="B20" s="66">
        <f>IF($A20="","",Baseline!B33)</f>
        <v/>
      </c>
      <c r="C20" s="66">
        <f>IF($A20="","",Baseline!C33)</f>
        <v/>
      </c>
      <c r="D20" s="67">
        <f>IF($A20="","",IF(Baseline!E33="","",Baseline!E33))</f>
        <v/>
      </c>
      <c r="E20" s="68">
        <f>IF(OR($A20="",E$4=""),"",IFERROR(INDEX(Submissions!$L$5:$L$304,MATCH(E$4&amp;"|"&amp;E$5&amp;"|"&amp;$A20,Submissions!$Q$5:$Q$304,0)),"NO DATA"))</f>
        <v/>
      </c>
      <c r="F20" s="68">
        <f>IF(OR($A20="",F$4=""),"",IFERROR(INDEX(Submissions!$L$5:$L$304,MATCH(F$4&amp;"|"&amp;F$5&amp;"|"&amp;$A20,Submissions!$Q$5:$Q$304,0)),"NO DATA"))</f>
        <v/>
      </c>
      <c r="G20" s="68">
        <f>IF(OR($A20="",G$4=""),"",IFERROR(INDEX(Submissions!$L$5:$L$304,MATCH(G$4&amp;"|"&amp;G$5&amp;"|"&amp;$A20,Submissions!$Q$5:$Q$304,0)),"NO DATA"))</f>
        <v/>
      </c>
      <c r="H20" s="68">
        <f>IF(OR($A20="",H$4=""),"",IFERROR(INDEX(Submissions!$L$5:$L$304,MATCH(H$4&amp;"|"&amp;H$5&amp;"|"&amp;$A20,Submissions!$Q$5:$Q$304,0)),"NO DATA"))</f>
        <v/>
      </c>
      <c r="I20" s="68">
        <f>IF(OR($A20="",I$4=""),"",IFERROR(INDEX(Submissions!$L$5:$L$304,MATCH(I$4&amp;"|"&amp;I$5&amp;"|"&amp;$A20,Submissions!$Q$5:$Q$304,0)),"NO DATA"))</f>
        <v/>
      </c>
      <c r="J20" s="68">
        <f>IF(OR($A20="",J$4=""),"",IFERROR(INDEX(Submissions!$L$5:$L$304,MATCH(J$4&amp;"|"&amp;J$5&amp;"|"&amp;$A20,Submissions!$Q$5:$Q$304,0)),"NO DATA"))</f>
        <v/>
      </c>
      <c r="K20" s="68">
        <f>IF(OR($A20="",K$4=""),"",IFERROR(INDEX(Submissions!$L$5:$L$304,MATCH(K$4&amp;"|"&amp;K$5&amp;"|"&amp;$A20,Submissions!$Q$5:$Q$304,0)),"NO DATA"))</f>
        <v/>
      </c>
      <c r="L20" s="68">
        <f>IF(OR($A20="",L$4=""),"",IFERROR(INDEX(Submissions!$L$5:$L$304,MATCH(L$4&amp;"|"&amp;L$5&amp;"|"&amp;$A20,Submissions!$Q$5:$Q$304,0)),"NO DATA"))</f>
        <v/>
      </c>
      <c r="M20" s="68">
        <f>IF(OR($A20="",M$4=""),"",IFERROR(INDEX(Submissions!$L$5:$L$304,MATCH(M$4&amp;"|"&amp;M$5&amp;"|"&amp;$A20,Submissions!$Q$5:$Q$304,0)),"NO DATA"))</f>
        <v/>
      </c>
      <c r="N20" s="68">
        <f>IF(OR($A20="",N$4=""),"",IFERROR(INDEX(Submissions!$L$5:$L$304,MATCH(N$4&amp;"|"&amp;N$5&amp;"|"&amp;$A20,Submissions!$Q$5:$Q$304,0)),"NO DATA"))</f>
        <v/>
      </c>
    </row>
    <row r="21" ht="15" customHeight="1" s="34">
      <c r="A21" s="66">
        <f>IF(Baseline!A34="","",Baseline!A34)</f>
        <v/>
      </c>
      <c r="B21" s="66">
        <f>IF($A21="","",Baseline!B34)</f>
        <v/>
      </c>
      <c r="C21" s="66">
        <f>IF($A21="","",Baseline!C34)</f>
        <v/>
      </c>
      <c r="D21" s="67">
        <f>IF($A21="","",IF(Baseline!E34="","",Baseline!E34))</f>
        <v/>
      </c>
      <c r="E21" s="68">
        <f>IF(OR($A21="",E$4=""),"",IFERROR(INDEX(Submissions!$L$5:$L$304,MATCH(E$4&amp;"|"&amp;E$5&amp;"|"&amp;$A21,Submissions!$Q$5:$Q$304,0)),"NO DATA"))</f>
        <v/>
      </c>
      <c r="F21" s="68">
        <f>IF(OR($A21="",F$4=""),"",IFERROR(INDEX(Submissions!$L$5:$L$304,MATCH(F$4&amp;"|"&amp;F$5&amp;"|"&amp;$A21,Submissions!$Q$5:$Q$304,0)),"NO DATA"))</f>
        <v/>
      </c>
      <c r="G21" s="68">
        <f>IF(OR($A21="",G$4=""),"",IFERROR(INDEX(Submissions!$L$5:$L$304,MATCH(G$4&amp;"|"&amp;G$5&amp;"|"&amp;$A21,Submissions!$Q$5:$Q$304,0)),"NO DATA"))</f>
        <v/>
      </c>
      <c r="H21" s="68">
        <f>IF(OR($A21="",H$4=""),"",IFERROR(INDEX(Submissions!$L$5:$L$304,MATCH(H$4&amp;"|"&amp;H$5&amp;"|"&amp;$A21,Submissions!$Q$5:$Q$304,0)),"NO DATA"))</f>
        <v/>
      </c>
      <c r="I21" s="68">
        <f>IF(OR($A21="",I$4=""),"",IFERROR(INDEX(Submissions!$L$5:$L$304,MATCH(I$4&amp;"|"&amp;I$5&amp;"|"&amp;$A21,Submissions!$Q$5:$Q$304,0)),"NO DATA"))</f>
        <v/>
      </c>
      <c r="J21" s="68">
        <f>IF(OR($A21="",J$4=""),"",IFERROR(INDEX(Submissions!$L$5:$L$304,MATCH(J$4&amp;"|"&amp;J$5&amp;"|"&amp;$A21,Submissions!$Q$5:$Q$304,0)),"NO DATA"))</f>
        <v/>
      </c>
      <c r="K21" s="68">
        <f>IF(OR($A21="",K$4=""),"",IFERROR(INDEX(Submissions!$L$5:$L$304,MATCH(K$4&amp;"|"&amp;K$5&amp;"|"&amp;$A21,Submissions!$Q$5:$Q$304,0)),"NO DATA"))</f>
        <v/>
      </c>
      <c r="L21" s="68">
        <f>IF(OR($A21="",L$4=""),"",IFERROR(INDEX(Submissions!$L$5:$L$304,MATCH(L$4&amp;"|"&amp;L$5&amp;"|"&amp;$A21,Submissions!$Q$5:$Q$304,0)),"NO DATA"))</f>
        <v/>
      </c>
      <c r="M21" s="68">
        <f>IF(OR($A21="",M$4=""),"",IFERROR(INDEX(Submissions!$L$5:$L$304,MATCH(M$4&amp;"|"&amp;M$5&amp;"|"&amp;$A21,Submissions!$Q$5:$Q$304,0)),"NO DATA"))</f>
        <v/>
      </c>
      <c r="N21" s="68">
        <f>IF(OR($A21="",N$4=""),"",IFERROR(INDEX(Submissions!$L$5:$L$304,MATCH(N$4&amp;"|"&amp;N$5&amp;"|"&amp;$A21,Submissions!$Q$5:$Q$304,0)),"NO DATA"))</f>
        <v/>
      </c>
    </row>
    <row r="22" ht="15" customHeight="1" s="34">
      <c r="A22" s="66">
        <f>IF(Baseline!A35="","",Baseline!A35)</f>
        <v/>
      </c>
      <c r="B22" s="66">
        <f>IF($A22="","",Baseline!B35)</f>
        <v/>
      </c>
      <c r="C22" s="66">
        <f>IF($A22="","",Baseline!C35)</f>
        <v/>
      </c>
      <c r="D22" s="67">
        <f>IF($A22="","",IF(Baseline!E35="","",Baseline!E35))</f>
        <v/>
      </c>
      <c r="E22" s="68">
        <f>IF(OR($A22="",E$4=""),"",IFERROR(INDEX(Submissions!$L$5:$L$304,MATCH(E$4&amp;"|"&amp;E$5&amp;"|"&amp;$A22,Submissions!$Q$5:$Q$304,0)),"NO DATA"))</f>
        <v/>
      </c>
      <c r="F22" s="68">
        <f>IF(OR($A22="",F$4=""),"",IFERROR(INDEX(Submissions!$L$5:$L$304,MATCH(F$4&amp;"|"&amp;F$5&amp;"|"&amp;$A22,Submissions!$Q$5:$Q$304,0)),"NO DATA"))</f>
        <v/>
      </c>
      <c r="G22" s="68">
        <f>IF(OR($A22="",G$4=""),"",IFERROR(INDEX(Submissions!$L$5:$L$304,MATCH(G$4&amp;"|"&amp;G$5&amp;"|"&amp;$A22,Submissions!$Q$5:$Q$304,0)),"NO DATA"))</f>
        <v/>
      </c>
      <c r="H22" s="68">
        <f>IF(OR($A22="",H$4=""),"",IFERROR(INDEX(Submissions!$L$5:$L$304,MATCH(H$4&amp;"|"&amp;H$5&amp;"|"&amp;$A22,Submissions!$Q$5:$Q$304,0)),"NO DATA"))</f>
        <v/>
      </c>
      <c r="I22" s="68">
        <f>IF(OR($A22="",I$4=""),"",IFERROR(INDEX(Submissions!$L$5:$L$304,MATCH(I$4&amp;"|"&amp;I$5&amp;"|"&amp;$A22,Submissions!$Q$5:$Q$304,0)),"NO DATA"))</f>
        <v/>
      </c>
      <c r="J22" s="68">
        <f>IF(OR($A22="",J$4=""),"",IFERROR(INDEX(Submissions!$L$5:$L$304,MATCH(J$4&amp;"|"&amp;J$5&amp;"|"&amp;$A22,Submissions!$Q$5:$Q$304,0)),"NO DATA"))</f>
        <v/>
      </c>
      <c r="K22" s="68">
        <f>IF(OR($A22="",K$4=""),"",IFERROR(INDEX(Submissions!$L$5:$L$304,MATCH(K$4&amp;"|"&amp;K$5&amp;"|"&amp;$A22,Submissions!$Q$5:$Q$304,0)),"NO DATA"))</f>
        <v/>
      </c>
      <c r="L22" s="68">
        <f>IF(OR($A22="",L$4=""),"",IFERROR(INDEX(Submissions!$L$5:$L$304,MATCH(L$4&amp;"|"&amp;L$5&amp;"|"&amp;$A22,Submissions!$Q$5:$Q$304,0)),"NO DATA"))</f>
        <v/>
      </c>
      <c r="M22" s="68">
        <f>IF(OR($A22="",M$4=""),"",IFERROR(INDEX(Submissions!$L$5:$L$304,MATCH(M$4&amp;"|"&amp;M$5&amp;"|"&amp;$A22,Submissions!$Q$5:$Q$304,0)),"NO DATA"))</f>
        <v/>
      </c>
      <c r="N22" s="68">
        <f>IF(OR($A22="",N$4=""),"",IFERROR(INDEX(Submissions!$L$5:$L$304,MATCH(N$4&amp;"|"&amp;N$5&amp;"|"&amp;$A22,Submissions!$Q$5:$Q$304,0)),"NO DATA"))</f>
        <v/>
      </c>
    </row>
    <row r="23" ht="15" customHeight="1" s="34">
      <c r="A23" s="66">
        <f>IF(Baseline!A36="","",Baseline!A36)</f>
        <v/>
      </c>
      <c r="B23" s="66">
        <f>IF($A23="","",Baseline!B36)</f>
        <v/>
      </c>
      <c r="C23" s="66">
        <f>IF($A23="","",Baseline!C36)</f>
        <v/>
      </c>
      <c r="D23" s="67">
        <f>IF($A23="","",IF(Baseline!E36="","",Baseline!E36))</f>
        <v/>
      </c>
      <c r="E23" s="68">
        <f>IF(OR($A23="",E$4=""),"",IFERROR(INDEX(Submissions!$L$5:$L$304,MATCH(E$4&amp;"|"&amp;E$5&amp;"|"&amp;$A23,Submissions!$Q$5:$Q$304,0)),"NO DATA"))</f>
        <v/>
      </c>
      <c r="F23" s="68">
        <f>IF(OR($A23="",F$4=""),"",IFERROR(INDEX(Submissions!$L$5:$L$304,MATCH(F$4&amp;"|"&amp;F$5&amp;"|"&amp;$A23,Submissions!$Q$5:$Q$304,0)),"NO DATA"))</f>
        <v/>
      </c>
      <c r="G23" s="68">
        <f>IF(OR($A23="",G$4=""),"",IFERROR(INDEX(Submissions!$L$5:$L$304,MATCH(G$4&amp;"|"&amp;G$5&amp;"|"&amp;$A23,Submissions!$Q$5:$Q$304,0)),"NO DATA"))</f>
        <v/>
      </c>
      <c r="H23" s="68">
        <f>IF(OR($A23="",H$4=""),"",IFERROR(INDEX(Submissions!$L$5:$L$304,MATCH(H$4&amp;"|"&amp;H$5&amp;"|"&amp;$A23,Submissions!$Q$5:$Q$304,0)),"NO DATA"))</f>
        <v/>
      </c>
      <c r="I23" s="68">
        <f>IF(OR($A23="",I$4=""),"",IFERROR(INDEX(Submissions!$L$5:$L$304,MATCH(I$4&amp;"|"&amp;I$5&amp;"|"&amp;$A23,Submissions!$Q$5:$Q$304,0)),"NO DATA"))</f>
        <v/>
      </c>
      <c r="J23" s="68">
        <f>IF(OR($A23="",J$4=""),"",IFERROR(INDEX(Submissions!$L$5:$L$304,MATCH(J$4&amp;"|"&amp;J$5&amp;"|"&amp;$A23,Submissions!$Q$5:$Q$304,0)),"NO DATA"))</f>
        <v/>
      </c>
      <c r="K23" s="68">
        <f>IF(OR($A23="",K$4=""),"",IFERROR(INDEX(Submissions!$L$5:$L$304,MATCH(K$4&amp;"|"&amp;K$5&amp;"|"&amp;$A23,Submissions!$Q$5:$Q$304,0)),"NO DATA"))</f>
        <v/>
      </c>
      <c r="L23" s="68">
        <f>IF(OR($A23="",L$4=""),"",IFERROR(INDEX(Submissions!$L$5:$L$304,MATCH(L$4&amp;"|"&amp;L$5&amp;"|"&amp;$A23,Submissions!$Q$5:$Q$304,0)),"NO DATA"))</f>
        <v/>
      </c>
      <c r="M23" s="68">
        <f>IF(OR($A23="",M$4=""),"",IFERROR(INDEX(Submissions!$L$5:$L$304,MATCH(M$4&amp;"|"&amp;M$5&amp;"|"&amp;$A23,Submissions!$Q$5:$Q$304,0)),"NO DATA"))</f>
        <v/>
      </c>
      <c r="N23" s="68">
        <f>IF(OR($A23="",N$4=""),"",IFERROR(INDEX(Submissions!$L$5:$L$304,MATCH(N$4&amp;"|"&amp;N$5&amp;"|"&amp;$A23,Submissions!$Q$5:$Q$304,0)),"NO DATA"))</f>
        <v/>
      </c>
    </row>
    <row r="24" ht="15" customHeight="1" s="34">
      <c r="A24" s="66">
        <f>IF(Baseline!A37="","",Baseline!A37)</f>
        <v/>
      </c>
      <c r="B24" s="66">
        <f>IF($A24="","",Baseline!B37)</f>
        <v/>
      </c>
      <c r="C24" s="66">
        <f>IF($A24="","",Baseline!C37)</f>
        <v/>
      </c>
      <c r="D24" s="67">
        <f>IF($A24="","",IF(Baseline!E37="","",Baseline!E37))</f>
        <v/>
      </c>
      <c r="E24" s="68">
        <f>IF(OR($A24="",E$4=""),"",IFERROR(INDEX(Submissions!$L$5:$L$304,MATCH(E$4&amp;"|"&amp;E$5&amp;"|"&amp;$A24,Submissions!$Q$5:$Q$304,0)),"NO DATA"))</f>
        <v/>
      </c>
      <c r="F24" s="68">
        <f>IF(OR($A24="",F$4=""),"",IFERROR(INDEX(Submissions!$L$5:$L$304,MATCH(F$4&amp;"|"&amp;F$5&amp;"|"&amp;$A24,Submissions!$Q$5:$Q$304,0)),"NO DATA"))</f>
        <v/>
      </c>
      <c r="G24" s="68">
        <f>IF(OR($A24="",G$4=""),"",IFERROR(INDEX(Submissions!$L$5:$L$304,MATCH(G$4&amp;"|"&amp;G$5&amp;"|"&amp;$A24,Submissions!$Q$5:$Q$304,0)),"NO DATA"))</f>
        <v/>
      </c>
      <c r="H24" s="68">
        <f>IF(OR($A24="",H$4=""),"",IFERROR(INDEX(Submissions!$L$5:$L$304,MATCH(H$4&amp;"|"&amp;H$5&amp;"|"&amp;$A24,Submissions!$Q$5:$Q$304,0)),"NO DATA"))</f>
        <v/>
      </c>
      <c r="I24" s="68">
        <f>IF(OR($A24="",I$4=""),"",IFERROR(INDEX(Submissions!$L$5:$L$304,MATCH(I$4&amp;"|"&amp;I$5&amp;"|"&amp;$A24,Submissions!$Q$5:$Q$304,0)),"NO DATA"))</f>
        <v/>
      </c>
      <c r="J24" s="68">
        <f>IF(OR($A24="",J$4=""),"",IFERROR(INDEX(Submissions!$L$5:$L$304,MATCH(J$4&amp;"|"&amp;J$5&amp;"|"&amp;$A24,Submissions!$Q$5:$Q$304,0)),"NO DATA"))</f>
        <v/>
      </c>
      <c r="K24" s="68">
        <f>IF(OR($A24="",K$4=""),"",IFERROR(INDEX(Submissions!$L$5:$L$304,MATCH(K$4&amp;"|"&amp;K$5&amp;"|"&amp;$A24,Submissions!$Q$5:$Q$304,0)),"NO DATA"))</f>
        <v/>
      </c>
      <c r="L24" s="68">
        <f>IF(OR($A24="",L$4=""),"",IFERROR(INDEX(Submissions!$L$5:$L$304,MATCH(L$4&amp;"|"&amp;L$5&amp;"|"&amp;$A24,Submissions!$Q$5:$Q$304,0)),"NO DATA"))</f>
        <v/>
      </c>
      <c r="M24" s="68">
        <f>IF(OR($A24="",M$4=""),"",IFERROR(INDEX(Submissions!$L$5:$L$304,MATCH(M$4&amp;"|"&amp;M$5&amp;"|"&amp;$A24,Submissions!$Q$5:$Q$304,0)),"NO DATA"))</f>
        <v/>
      </c>
      <c r="N24" s="68">
        <f>IF(OR($A24="",N$4=""),"",IFERROR(INDEX(Submissions!$L$5:$L$304,MATCH(N$4&amp;"|"&amp;N$5&amp;"|"&amp;$A24,Submissions!$Q$5:$Q$304,0)),"NO DATA"))</f>
        <v/>
      </c>
    </row>
    <row r="25" ht="15" customHeight="1" s="34">
      <c r="A25" s="66">
        <f>IF(Baseline!A38="","",Baseline!A38)</f>
        <v/>
      </c>
      <c r="B25" s="66">
        <f>IF($A25="","",Baseline!B38)</f>
        <v/>
      </c>
      <c r="C25" s="66">
        <f>IF($A25="","",Baseline!C38)</f>
        <v/>
      </c>
      <c r="D25" s="67">
        <f>IF($A25="","",IF(Baseline!E38="","",Baseline!E38))</f>
        <v/>
      </c>
      <c r="E25" s="68">
        <f>IF(OR($A25="",E$4=""),"",IFERROR(INDEX(Submissions!$L$5:$L$304,MATCH(E$4&amp;"|"&amp;E$5&amp;"|"&amp;$A25,Submissions!$Q$5:$Q$304,0)),"NO DATA"))</f>
        <v/>
      </c>
      <c r="F25" s="68">
        <f>IF(OR($A25="",F$4=""),"",IFERROR(INDEX(Submissions!$L$5:$L$304,MATCH(F$4&amp;"|"&amp;F$5&amp;"|"&amp;$A25,Submissions!$Q$5:$Q$304,0)),"NO DATA"))</f>
        <v/>
      </c>
      <c r="G25" s="68">
        <f>IF(OR($A25="",G$4=""),"",IFERROR(INDEX(Submissions!$L$5:$L$304,MATCH(G$4&amp;"|"&amp;G$5&amp;"|"&amp;$A25,Submissions!$Q$5:$Q$304,0)),"NO DATA"))</f>
        <v/>
      </c>
      <c r="H25" s="68">
        <f>IF(OR($A25="",H$4=""),"",IFERROR(INDEX(Submissions!$L$5:$L$304,MATCH(H$4&amp;"|"&amp;H$5&amp;"|"&amp;$A25,Submissions!$Q$5:$Q$304,0)),"NO DATA"))</f>
        <v/>
      </c>
      <c r="I25" s="68">
        <f>IF(OR($A25="",I$4=""),"",IFERROR(INDEX(Submissions!$L$5:$L$304,MATCH(I$4&amp;"|"&amp;I$5&amp;"|"&amp;$A25,Submissions!$Q$5:$Q$304,0)),"NO DATA"))</f>
        <v/>
      </c>
      <c r="J25" s="68">
        <f>IF(OR($A25="",J$4=""),"",IFERROR(INDEX(Submissions!$L$5:$L$304,MATCH(J$4&amp;"|"&amp;J$5&amp;"|"&amp;$A25,Submissions!$Q$5:$Q$304,0)),"NO DATA"))</f>
        <v/>
      </c>
      <c r="K25" s="68">
        <f>IF(OR($A25="",K$4=""),"",IFERROR(INDEX(Submissions!$L$5:$L$304,MATCH(K$4&amp;"|"&amp;K$5&amp;"|"&amp;$A25,Submissions!$Q$5:$Q$304,0)),"NO DATA"))</f>
        <v/>
      </c>
      <c r="L25" s="68">
        <f>IF(OR($A25="",L$4=""),"",IFERROR(INDEX(Submissions!$L$5:$L$304,MATCH(L$4&amp;"|"&amp;L$5&amp;"|"&amp;$A25,Submissions!$Q$5:$Q$304,0)),"NO DATA"))</f>
        <v/>
      </c>
      <c r="M25" s="68">
        <f>IF(OR($A25="",M$4=""),"",IFERROR(INDEX(Submissions!$L$5:$L$304,MATCH(M$4&amp;"|"&amp;M$5&amp;"|"&amp;$A25,Submissions!$Q$5:$Q$304,0)),"NO DATA"))</f>
        <v/>
      </c>
      <c r="N25" s="68">
        <f>IF(OR($A25="",N$4=""),"",IFERROR(INDEX(Submissions!$L$5:$L$304,MATCH(N$4&amp;"|"&amp;N$5&amp;"|"&amp;$A25,Submissions!$Q$5:$Q$304,0)),"NO DATA"))</f>
        <v/>
      </c>
    </row>
    <row r="26" ht="15" customHeight="1" s="34">
      <c r="A26" s="66">
        <f>IF(Baseline!A39="","",Baseline!A39)</f>
        <v/>
      </c>
      <c r="B26" s="66">
        <f>IF($A26="","",Baseline!B39)</f>
        <v/>
      </c>
      <c r="C26" s="66">
        <f>IF($A26="","",Baseline!C39)</f>
        <v/>
      </c>
      <c r="D26" s="67">
        <f>IF($A26="","",IF(Baseline!E39="","",Baseline!E39))</f>
        <v/>
      </c>
      <c r="E26" s="68">
        <f>IF(OR($A26="",E$4=""),"",IFERROR(INDEX(Submissions!$L$5:$L$304,MATCH(E$4&amp;"|"&amp;E$5&amp;"|"&amp;$A26,Submissions!$Q$5:$Q$304,0)),"NO DATA"))</f>
        <v/>
      </c>
      <c r="F26" s="68">
        <f>IF(OR($A26="",F$4=""),"",IFERROR(INDEX(Submissions!$L$5:$L$304,MATCH(F$4&amp;"|"&amp;F$5&amp;"|"&amp;$A26,Submissions!$Q$5:$Q$304,0)),"NO DATA"))</f>
        <v/>
      </c>
      <c r="G26" s="68">
        <f>IF(OR($A26="",G$4=""),"",IFERROR(INDEX(Submissions!$L$5:$L$304,MATCH(G$4&amp;"|"&amp;G$5&amp;"|"&amp;$A26,Submissions!$Q$5:$Q$304,0)),"NO DATA"))</f>
        <v/>
      </c>
      <c r="H26" s="68">
        <f>IF(OR($A26="",H$4=""),"",IFERROR(INDEX(Submissions!$L$5:$L$304,MATCH(H$4&amp;"|"&amp;H$5&amp;"|"&amp;$A26,Submissions!$Q$5:$Q$304,0)),"NO DATA"))</f>
        <v/>
      </c>
      <c r="I26" s="68">
        <f>IF(OR($A26="",I$4=""),"",IFERROR(INDEX(Submissions!$L$5:$L$304,MATCH(I$4&amp;"|"&amp;I$5&amp;"|"&amp;$A26,Submissions!$Q$5:$Q$304,0)),"NO DATA"))</f>
        <v/>
      </c>
      <c r="J26" s="68">
        <f>IF(OR($A26="",J$4=""),"",IFERROR(INDEX(Submissions!$L$5:$L$304,MATCH(J$4&amp;"|"&amp;J$5&amp;"|"&amp;$A26,Submissions!$Q$5:$Q$304,0)),"NO DATA"))</f>
        <v/>
      </c>
      <c r="K26" s="68">
        <f>IF(OR($A26="",K$4=""),"",IFERROR(INDEX(Submissions!$L$5:$L$304,MATCH(K$4&amp;"|"&amp;K$5&amp;"|"&amp;$A26,Submissions!$Q$5:$Q$304,0)),"NO DATA"))</f>
        <v/>
      </c>
      <c r="L26" s="68">
        <f>IF(OR($A26="",L$4=""),"",IFERROR(INDEX(Submissions!$L$5:$L$304,MATCH(L$4&amp;"|"&amp;L$5&amp;"|"&amp;$A26,Submissions!$Q$5:$Q$304,0)),"NO DATA"))</f>
        <v/>
      </c>
      <c r="M26" s="68">
        <f>IF(OR($A26="",M$4=""),"",IFERROR(INDEX(Submissions!$L$5:$L$304,MATCH(M$4&amp;"|"&amp;M$5&amp;"|"&amp;$A26,Submissions!$Q$5:$Q$304,0)),"NO DATA"))</f>
        <v/>
      </c>
      <c r="N26" s="68">
        <f>IF(OR($A26="",N$4=""),"",IFERROR(INDEX(Submissions!$L$5:$L$304,MATCH(N$4&amp;"|"&amp;N$5&amp;"|"&amp;$A26,Submissions!$Q$5:$Q$304,0)),"NO DATA"))</f>
        <v/>
      </c>
    </row>
    <row r="27" ht="15" customHeight="1" s="34">
      <c r="A27" s="66">
        <f>IF(Baseline!A40="","",Baseline!A40)</f>
        <v/>
      </c>
      <c r="B27" s="66">
        <f>IF($A27="","",Baseline!B40)</f>
        <v/>
      </c>
      <c r="C27" s="66">
        <f>IF($A27="","",Baseline!C40)</f>
        <v/>
      </c>
      <c r="D27" s="67">
        <f>IF($A27="","",IF(Baseline!E40="","",Baseline!E40))</f>
        <v/>
      </c>
      <c r="E27" s="68">
        <f>IF(OR($A27="",E$4=""),"",IFERROR(INDEX(Submissions!$L$5:$L$304,MATCH(E$4&amp;"|"&amp;E$5&amp;"|"&amp;$A27,Submissions!$Q$5:$Q$304,0)),"NO DATA"))</f>
        <v/>
      </c>
      <c r="F27" s="68">
        <f>IF(OR($A27="",F$4=""),"",IFERROR(INDEX(Submissions!$L$5:$L$304,MATCH(F$4&amp;"|"&amp;F$5&amp;"|"&amp;$A27,Submissions!$Q$5:$Q$304,0)),"NO DATA"))</f>
        <v/>
      </c>
      <c r="G27" s="68">
        <f>IF(OR($A27="",G$4=""),"",IFERROR(INDEX(Submissions!$L$5:$L$304,MATCH(G$4&amp;"|"&amp;G$5&amp;"|"&amp;$A27,Submissions!$Q$5:$Q$304,0)),"NO DATA"))</f>
        <v/>
      </c>
      <c r="H27" s="68">
        <f>IF(OR($A27="",H$4=""),"",IFERROR(INDEX(Submissions!$L$5:$L$304,MATCH(H$4&amp;"|"&amp;H$5&amp;"|"&amp;$A27,Submissions!$Q$5:$Q$304,0)),"NO DATA"))</f>
        <v/>
      </c>
      <c r="I27" s="68">
        <f>IF(OR($A27="",I$4=""),"",IFERROR(INDEX(Submissions!$L$5:$L$304,MATCH(I$4&amp;"|"&amp;I$5&amp;"|"&amp;$A27,Submissions!$Q$5:$Q$304,0)),"NO DATA"))</f>
        <v/>
      </c>
      <c r="J27" s="68">
        <f>IF(OR($A27="",J$4=""),"",IFERROR(INDEX(Submissions!$L$5:$L$304,MATCH(J$4&amp;"|"&amp;J$5&amp;"|"&amp;$A27,Submissions!$Q$5:$Q$304,0)),"NO DATA"))</f>
        <v/>
      </c>
      <c r="K27" s="68">
        <f>IF(OR($A27="",K$4=""),"",IFERROR(INDEX(Submissions!$L$5:$L$304,MATCH(K$4&amp;"|"&amp;K$5&amp;"|"&amp;$A27,Submissions!$Q$5:$Q$304,0)),"NO DATA"))</f>
        <v/>
      </c>
      <c r="L27" s="68">
        <f>IF(OR($A27="",L$4=""),"",IFERROR(INDEX(Submissions!$L$5:$L$304,MATCH(L$4&amp;"|"&amp;L$5&amp;"|"&amp;$A27,Submissions!$Q$5:$Q$304,0)),"NO DATA"))</f>
        <v/>
      </c>
      <c r="M27" s="68">
        <f>IF(OR($A27="",M$4=""),"",IFERROR(INDEX(Submissions!$L$5:$L$304,MATCH(M$4&amp;"|"&amp;M$5&amp;"|"&amp;$A27,Submissions!$Q$5:$Q$304,0)),"NO DATA"))</f>
        <v/>
      </c>
      <c r="N27" s="68">
        <f>IF(OR($A27="",N$4=""),"",IFERROR(INDEX(Submissions!$L$5:$L$304,MATCH(N$4&amp;"|"&amp;N$5&amp;"|"&amp;$A27,Submissions!$Q$5:$Q$304,0)),"NO DATA"))</f>
        <v/>
      </c>
    </row>
    <row r="28" ht="15" customHeight="1" s="34">
      <c r="A28" s="66">
        <f>IF(Baseline!A41="","",Baseline!A41)</f>
        <v/>
      </c>
      <c r="B28" s="66">
        <f>IF($A28="","",Baseline!B41)</f>
        <v/>
      </c>
      <c r="C28" s="66">
        <f>IF($A28="","",Baseline!C41)</f>
        <v/>
      </c>
      <c r="D28" s="67">
        <f>IF($A28="","",IF(Baseline!E41="","",Baseline!E41))</f>
        <v/>
      </c>
      <c r="E28" s="68">
        <f>IF(OR($A28="",E$4=""),"",IFERROR(INDEX(Submissions!$L$5:$L$304,MATCH(E$4&amp;"|"&amp;E$5&amp;"|"&amp;$A28,Submissions!$Q$5:$Q$304,0)),"NO DATA"))</f>
        <v/>
      </c>
      <c r="F28" s="68">
        <f>IF(OR($A28="",F$4=""),"",IFERROR(INDEX(Submissions!$L$5:$L$304,MATCH(F$4&amp;"|"&amp;F$5&amp;"|"&amp;$A28,Submissions!$Q$5:$Q$304,0)),"NO DATA"))</f>
        <v/>
      </c>
      <c r="G28" s="68">
        <f>IF(OR($A28="",G$4=""),"",IFERROR(INDEX(Submissions!$L$5:$L$304,MATCH(G$4&amp;"|"&amp;G$5&amp;"|"&amp;$A28,Submissions!$Q$5:$Q$304,0)),"NO DATA"))</f>
        <v/>
      </c>
      <c r="H28" s="68">
        <f>IF(OR($A28="",H$4=""),"",IFERROR(INDEX(Submissions!$L$5:$L$304,MATCH(H$4&amp;"|"&amp;H$5&amp;"|"&amp;$A28,Submissions!$Q$5:$Q$304,0)),"NO DATA"))</f>
        <v/>
      </c>
      <c r="I28" s="68">
        <f>IF(OR($A28="",I$4=""),"",IFERROR(INDEX(Submissions!$L$5:$L$304,MATCH(I$4&amp;"|"&amp;I$5&amp;"|"&amp;$A28,Submissions!$Q$5:$Q$304,0)),"NO DATA"))</f>
        <v/>
      </c>
      <c r="J28" s="68">
        <f>IF(OR($A28="",J$4=""),"",IFERROR(INDEX(Submissions!$L$5:$L$304,MATCH(J$4&amp;"|"&amp;J$5&amp;"|"&amp;$A28,Submissions!$Q$5:$Q$304,0)),"NO DATA"))</f>
        <v/>
      </c>
      <c r="K28" s="68">
        <f>IF(OR($A28="",K$4=""),"",IFERROR(INDEX(Submissions!$L$5:$L$304,MATCH(K$4&amp;"|"&amp;K$5&amp;"|"&amp;$A28,Submissions!$Q$5:$Q$304,0)),"NO DATA"))</f>
        <v/>
      </c>
      <c r="L28" s="68">
        <f>IF(OR($A28="",L$4=""),"",IFERROR(INDEX(Submissions!$L$5:$L$304,MATCH(L$4&amp;"|"&amp;L$5&amp;"|"&amp;$A28,Submissions!$Q$5:$Q$304,0)),"NO DATA"))</f>
        <v/>
      </c>
      <c r="M28" s="68">
        <f>IF(OR($A28="",M$4=""),"",IFERROR(INDEX(Submissions!$L$5:$L$304,MATCH(M$4&amp;"|"&amp;M$5&amp;"|"&amp;$A28,Submissions!$Q$5:$Q$304,0)),"NO DATA"))</f>
        <v/>
      </c>
      <c r="N28" s="68">
        <f>IF(OR($A28="",N$4=""),"",IFERROR(INDEX(Submissions!$L$5:$L$304,MATCH(N$4&amp;"|"&amp;N$5&amp;"|"&amp;$A28,Submissions!$Q$5:$Q$304,0)),"NO DATA"))</f>
        <v/>
      </c>
    </row>
    <row r="29" ht="15" customHeight="1" s="34">
      <c r="A29" s="66">
        <f>IF(Baseline!A42="","",Baseline!A42)</f>
        <v/>
      </c>
      <c r="B29" s="66">
        <f>IF($A29="","",Baseline!B42)</f>
        <v/>
      </c>
      <c r="C29" s="66">
        <f>IF($A29="","",Baseline!C42)</f>
        <v/>
      </c>
      <c r="D29" s="67">
        <f>IF($A29="","",IF(Baseline!E42="","",Baseline!E42))</f>
        <v/>
      </c>
      <c r="E29" s="68">
        <f>IF(OR($A29="",E$4=""),"",IFERROR(INDEX(Submissions!$L$5:$L$304,MATCH(E$4&amp;"|"&amp;E$5&amp;"|"&amp;$A29,Submissions!$Q$5:$Q$304,0)),"NO DATA"))</f>
        <v/>
      </c>
      <c r="F29" s="68">
        <f>IF(OR($A29="",F$4=""),"",IFERROR(INDEX(Submissions!$L$5:$L$304,MATCH(F$4&amp;"|"&amp;F$5&amp;"|"&amp;$A29,Submissions!$Q$5:$Q$304,0)),"NO DATA"))</f>
        <v/>
      </c>
      <c r="G29" s="68">
        <f>IF(OR($A29="",G$4=""),"",IFERROR(INDEX(Submissions!$L$5:$L$304,MATCH(G$4&amp;"|"&amp;G$5&amp;"|"&amp;$A29,Submissions!$Q$5:$Q$304,0)),"NO DATA"))</f>
        <v/>
      </c>
      <c r="H29" s="68">
        <f>IF(OR($A29="",H$4=""),"",IFERROR(INDEX(Submissions!$L$5:$L$304,MATCH(H$4&amp;"|"&amp;H$5&amp;"|"&amp;$A29,Submissions!$Q$5:$Q$304,0)),"NO DATA"))</f>
        <v/>
      </c>
      <c r="I29" s="68">
        <f>IF(OR($A29="",I$4=""),"",IFERROR(INDEX(Submissions!$L$5:$L$304,MATCH(I$4&amp;"|"&amp;I$5&amp;"|"&amp;$A29,Submissions!$Q$5:$Q$304,0)),"NO DATA"))</f>
        <v/>
      </c>
      <c r="J29" s="68">
        <f>IF(OR($A29="",J$4=""),"",IFERROR(INDEX(Submissions!$L$5:$L$304,MATCH(J$4&amp;"|"&amp;J$5&amp;"|"&amp;$A29,Submissions!$Q$5:$Q$304,0)),"NO DATA"))</f>
        <v/>
      </c>
      <c r="K29" s="68">
        <f>IF(OR($A29="",K$4=""),"",IFERROR(INDEX(Submissions!$L$5:$L$304,MATCH(K$4&amp;"|"&amp;K$5&amp;"|"&amp;$A29,Submissions!$Q$5:$Q$304,0)),"NO DATA"))</f>
        <v/>
      </c>
      <c r="L29" s="68">
        <f>IF(OR($A29="",L$4=""),"",IFERROR(INDEX(Submissions!$L$5:$L$304,MATCH(L$4&amp;"|"&amp;L$5&amp;"|"&amp;$A29,Submissions!$Q$5:$Q$304,0)),"NO DATA"))</f>
        <v/>
      </c>
      <c r="M29" s="68">
        <f>IF(OR($A29="",M$4=""),"",IFERROR(INDEX(Submissions!$L$5:$L$304,MATCH(M$4&amp;"|"&amp;M$5&amp;"|"&amp;$A29,Submissions!$Q$5:$Q$304,0)),"NO DATA"))</f>
        <v/>
      </c>
      <c r="N29" s="68">
        <f>IF(OR($A29="",N$4=""),"",IFERROR(INDEX(Submissions!$L$5:$L$304,MATCH(N$4&amp;"|"&amp;N$5&amp;"|"&amp;$A29,Submissions!$Q$5:$Q$304,0)),"NO DATA"))</f>
        <v/>
      </c>
    </row>
    <row r="30" ht="15" customHeight="1" s="34">
      <c r="A30" s="66">
        <f>IF(Baseline!A43="","",Baseline!A43)</f>
        <v/>
      </c>
      <c r="B30" s="66">
        <f>IF($A30="","",Baseline!B43)</f>
        <v/>
      </c>
      <c r="C30" s="66">
        <f>IF($A30="","",Baseline!C43)</f>
        <v/>
      </c>
      <c r="D30" s="67">
        <f>IF($A30="","",IF(Baseline!E43="","",Baseline!E43))</f>
        <v/>
      </c>
      <c r="E30" s="68">
        <f>IF(OR($A30="",E$4=""),"",IFERROR(INDEX(Submissions!$L$5:$L$304,MATCH(E$4&amp;"|"&amp;E$5&amp;"|"&amp;$A30,Submissions!$Q$5:$Q$304,0)),"NO DATA"))</f>
        <v/>
      </c>
      <c r="F30" s="68">
        <f>IF(OR($A30="",F$4=""),"",IFERROR(INDEX(Submissions!$L$5:$L$304,MATCH(F$4&amp;"|"&amp;F$5&amp;"|"&amp;$A30,Submissions!$Q$5:$Q$304,0)),"NO DATA"))</f>
        <v/>
      </c>
      <c r="G30" s="68">
        <f>IF(OR($A30="",G$4=""),"",IFERROR(INDEX(Submissions!$L$5:$L$304,MATCH(G$4&amp;"|"&amp;G$5&amp;"|"&amp;$A30,Submissions!$Q$5:$Q$304,0)),"NO DATA"))</f>
        <v/>
      </c>
      <c r="H30" s="68">
        <f>IF(OR($A30="",H$4=""),"",IFERROR(INDEX(Submissions!$L$5:$L$304,MATCH(H$4&amp;"|"&amp;H$5&amp;"|"&amp;$A30,Submissions!$Q$5:$Q$304,0)),"NO DATA"))</f>
        <v/>
      </c>
      <c r="I30" s="68">
        <f>IF(OR($A30="",I$4=""),"",IFERROR(INDEX(Submissions!$L$5:$L$304,MATCH(I$4&amp;"|"&amp;I$5&amp;"|"&amp;$A30,Submissions!$Q$5:$Q$304,0)),"NO DATA"))</f>
        <v/>
      </c>
      <c r="J30" s="68">
        <f>IF(OR($A30="",J$4=""),"",IFERROR(INDEX(Submissions!$L$5:$L$304,MATCH(J$4&amp;"|"&amp;J$5&amp;"|"&amp;$A30,Submissions!$Q$5:$Q$304,0)),"NO DATA"))</f>
        <v/>
      </c>
      <c r="K30" s="68">
        <f>IF(OR($A30="",K$4=""),"",IFERROR(INDEX(Submissions!$L$5:$L$304,MATCH(K$4&amp;"|"&amp;K$5&amp;"|"&amp;$A30,Submissions!$Q$5:$Q$304,0)),"NO DATA"))</f>
        <v/>
      </c>
      <c r="L30" s="68">
        <f>IF(OR($A30="",L$4=""),"",IFERROR(INDEX(Submissions!$L$5:$L$304,MATCH(L$4&amp;"|"&amp;L$5&amp;"|"&amp;$A30,Submissions!$Q$5:$Q$304,0)),"NO DATA"))</f>
        <v/>
      </c>
      <c r="M30" s="68">
        <f>IF(OR($A30="",M$4=""),"",IFERROR(INDEX(Submissions!$L$5:$L$304,MATCH(M$4&amp;"|"&amp;M$5&amp;"|"&amp;$A30,Submissions!$Q$5:$Q$304,0)),"NO DATA"))</f>
        <v/>
      </c>
      <c r="N30" s="68">
        <f>IF(OR($A30="",N$4=""),"",IFERROR(INDEX(Submissions!$L$5:$L$304,MATCH(N$4&amp;"|"&amp;N$5&amp;"|"&amp;$A30,Submissions!$Q$5:$Q$304,0)),"NO DATA"))</f>
        <v/>
      </c>
    </row>
    <row r="31" ht="15" customHeight="1" s="34">
      <c r="A31" s="66">
        <f>IF(Baseline!A44="","",Baseline!A44)</f>
        <v/>
      </c>
      <c r="B31" s="66">
        <f>IF($A31="","",Baseline!B44)</f>
        <v/>
      </c>
      <c r="C31" s="66">
        <f>IF($A31="","",Baseline!C44)</f>
        <v/>
      </c>
      <c r="D31" s="70">
        <f>IF($A31="","",IF(Baseline!E44="","",Baseline!E44))</f>
        <v/>
      </c>
      <c r="E31" s="68">
        <f>IF(OR($A31="",E$4=""),"",IFERROR(INDEX(Submissions!$L$5:$L$304,MATCH(E$4&amp;"|"&amp;E$5&amp;"|"&amp;$A31,Submissions!$Q$5:$Q$304,0)),"NO DATA"))</f>
        <v/>
      </c>
      <c r="F31" s="68">
        <f>IF(OR($A31="",F$4=""),"",IFERROR(INDEX(Submissions!$L$5:$L$304,MATCH(F$4&amp;"|"&amp;F$5&amp;"|"&amp;$A31,Submissions!$Q$5:$Q$304,0)),"NO DATA"))</f>
        <v/>
      </c>
      <c r="G31" s="68">
        <f>IF(OR($A31="",G$4=""),"",IFERROR(INDEX(Submissions!$L$5:$L$304,MATCH(G$4&amp;"|"&amp;G$5&amp;"|"&amp;$A31,Submissions!$Q$5:$Q$304,0)),"NO DATA"))</f>
        <v/>
      </c>
      <c r="H31" s="68">
        <f>IF(OR($A31="",H$4=""),"",IFERROR(INDEX(Submissions!$L$5:$L$304,MATCH(H$4&amp;"|"&amp;H$5&amp;"|"&amp;$A31,Submissions!$Q$5:$Q$304,0)),"NO DATA"))</f>
        <v/>
      </c>
      <c r="I31" s="68">
        <f>IF(OR($A31="",I$4=""),"",IFERROR(INDEX(Submissions!$L$5:$L$304,MATCH(I$4&amp;"|"&amp;I$5&amp;"|"&amp;$A31,Submissions!$Q$5:$Q$304,0)),"NO DATA"))</f>
        <v/>
      </c>
      <c r="J31" s="68">
        <f>IF(OR($A31="",J$4=""),"",IFERROR(INDEX(Submissions!$L$5:$L$304,MATCH(J$4&amp;"|"&amp;J$5&amp;"|"&amp;$A31,Submissions!$Q$5:$Q$304,0)),"NO DATA"))</f>
        <v/>
      </c>
      <c r="K31" s="68">
        <f>IF(OR($A31="",K$4=""),"",IFERROR(INDEX(Submissions!$L$5:$L$304,MATCH(K$4&amp;"|"&amp;K$5&amp;"|"&amp;$A31,Submissions!$Q$5:$Q$304,0)),"NO DATA"))</f>
        <v/>
      </c>
      <c r="L31" s="68">
        <f>IF(OR($A31="",L$4=""),"",IFERROR(INDEX(Submissions!$L$5:$L$304,MATCH(L$4&amp;"|"&amp;L$5&amp;"|"&amp;$A31,Submissions!$Q$5:$Q$304,0)),"NO DATA"))</f>
        <v/>
      </c>
      <c r="M31" s="68">
        <f>IF(OR($A31="",M$4=""),"",IFERROR(INDEX(Submissions!$L$5:$L$304,MATCH(M$4&amp;"|"&amp;M$5&amp;"|"&amp;$A31,Submissions!$Q$5:$Q$304,0)),"NO DATA"))</f>
        <v/>
      </c>
      <c r="N31" s="68">
        <f>IF(OR($A31="",N$4=""),"",IFERROR(INDEX(Submissions!$L$5:$L$304,MATCH(N$4&amp;"|"&amp;N$5&amp;"|"&amp;$A31,Submissions!$Q$5:$Q$304,0)),"NO DATA"))</f>
        <v/>
      </c>
    </row>
    <row r="32" ht="15" customHeight="1" s="34">
      <c r="A32" s="66">
        <f>IF(Baseline!A45="","",Baseline!A45)</f>
        <v/>
      </c>
      <c r="B32" s="66">
        <f>IF($A32="","",Baseline!B45)</f>
        <v/>
      </c>
      <c r="C32" s="66">
        <f>IF($A32="","",Baseline!C45)</f>
        <v/>
      </c>
      <c r="D32" s="70">
        <f>IF($A32="","",IF(Baseline!E45="","",Baseline!E45))</f>
        <v/>
      </c>
      <c r="E32" s="68">
        <f>IF(OR($A32="",E$4=""),"",IFERROR(INDEX(Submissions!$L$5:$L$304,MATCH(E$4&amp;"|"&amp;E$5&amp;"|"&amp;$A32,Submissions!$Q$5:$Q$304,0)),"NO DATA"))</f>
        <v/>
      </c>
      <c r="F32" s="68">
        <f>IF(OR($A32="",F$4=""),"",IFERROR(INDEX(Submissions!$L$5:$L$304,MATCH(F$4&amp;"|"&amp;F$5&amp;"|"&amp;$A32,Submissions!$Q$5:$Q$304,0)),"NO DATA"))</f>
        <v/>
      </c>
      <c r="G32" s="68">
        <f>IF(OR($A32="",G$4=""),"",IFERROR(INDEX(Submissions!$L$5:$L$304,MATCH(G$4&amp;"|"&amp;G$5&amp;"|"&amp;$A32,Submissions!$Q$5:$Q$304,0)),"NO DATA"))</f>
        <v/>
      </c>
      <c r="H32" s="68">
        <f>IF(OR($A32="",H$4=""),"",IFERROR(INDEX(Submissions!$L$5:$L$304,MATCH(H$4&amp;"|"&amp;H$5&amp;"|"&amp;$A32,Submissions!$Q$5:$Q$304,0)),"NO DATA"))</f>
        <v/>
      </c>
      <c r="I32" s="68">
        <f>IF(OR($A32="",I$4=""),"",IFERROR(INDEX(Submissions!$L$5:$L$304,MATCH(I$4&amp;"|"&amp;I$5&amp;"|"&amp;$A32,Submissions!$Q$5:$Q$304,0)),"NO DATA"))</f>
        <v/>
      </c>
      <c r="J32" s="68">
        <f>IF(OR($A32="",J$4=""),"",IFERROR(INDEX(Submissions!$L$5:$L$304,MATCH(J$4&amp;"|"&amp;J$5&amp;"|"&amp;$A32,Submissions!$Q$5:$Q$304,0)),"NO DATA"))</f>
        <v/>
      </c>
      <c r="K32" s="68">
        <f>IF(OR($A32="",K$4=""),"",IFERROR(INDEX(Submissions!$L$5:$L$304,MATCH(K$4&amp;"|"&amp;K$5&amp;"|"&amp;$A32,Submissions!$Q$5:$Q$304,0)),"NO DATA"))</f>
        <v/>
      </c>
      <c r="L32" s="68">
        <f>IF(OR($A32="",L$4=""),"",IFERROR(INDEX(Submissions!$L$5:$L$304,MATCH(L$4&amp;"|"&amp;L$5&amp;"|"&amp;$A32,Submissions!$Q$5:$Q$304,0)),"NO DATA"))</f>
        <v/>
      </c>
      <c r="M32" s="68">
        <f>IF(OR($A32="",M$4=""),"",IFERROR(INDEX(Submissions!$L$5:$L$304,MATCH(M$4&amp;"|"&amp;M$5&amp;"|"&amp;$A32,Submissions!$Q$5:$Q$304,0)),"NO DATA"))</f>
        <v/>
      </c>
      <c r="N32" s="68">
        <f>IF(OR($A32="",N$4=""),"",IFERROR(INDEX(Submissions!$L$5:$L$304,MATCH(N$4&amp;"|"&amp;N$5&amp;"|"&amp;$A32,Submissions!$Q$5:$Q$304,0)),"NO DATA"))</f>
        <v/>
      </c>
    </row>
    <row r="33" ht="15" customHeight="1" s="34">
      <c r="A33" s="66">
        <f>IF(Baseline!A46="","",Baseline!A46)</f>
        <v/>
      </c>
      <c r="B33" s="66">
        <f>IF($A33="","",Baseline!B46)</f>
        <v/>
      </c>
      <c r="C33" s="66">
        <f>IF($A33="","",Baseline!C46)</f>
        <v/>
      </c>
      <c r="D33" s="70">
        <f>IF($A33="","",IF(Baseline!E46="","",Baseline!E46))</f>
        <v/>
      </c>
      <c r="E33" s="68">
        <f>IF(OR($A33="",E$4=""),"",IFERROR(INDEX(Submissions!$L$5:$L$304,MATCH(E$4&amp;"|"&amp;E$5&amp;"|"&amp;$A33,Submissions!$Q$5:$Q$304,0)),"NO DATA"))</f>
        <v/>
      </c>
      <c r="F33" s="68">
        <f>IF(OR($A33="",F$4=""),"",IFERROR(INDEX(Submissions!$L$5:$L$304,MATCH(F$4&amp;"|"&amp;F$5&amp;"|"&amp;$A33,Submissions!$Q$5:$Q$304,0)),"NO DATA"))</f>
        <v/>
      </c>
      <c r="G33" s="68">
        <f>IF(OR($A33="",G$4=""),"",IFERROR(INDEX(Submissions!$L$5:$L$304,MATCH(G$4&amp;"|"&amp;G$5&amp;"|"&amp;$A33,Submissions!$Q$5:$Q$304,0)),"NO DATA"))</f>
        <v/>
      </c>
      <c r="H33" s="68">
        <f>IF(OR($A33="",H$4=""),"",IFERROR(INDEX(Submissions!$L$5:$L$304,MATCH(H$4&amp;"|"&amp;H$5&amp;"|"&amp;$A33,Submissions!$Q$5:$Q$304,0)),"NO DATA"))</f>
        <v/>
      </c>
      <c r="I33" s="68">
        <f>IF(OR($A33="",I$4=""),"",IFERROR(INDEX(Submissions!$L$5:$L$304,MATCH(I$4&amp;"|"&amp;I$5&amp;"|"&amp;$A33,Submissions!$Q$5:$Q$304,0)),"NO DATA"))</f>
        <v/>
      </c>
      <c r="J33" s="68">
        <f>IF(OR($A33="",J$4=""),"",IFERROR(INDEX(Submissions!$L$5:$L$304,MATCH(J$4&amp;"|"&amp;J$5&amp;"|"&amp;$A33,Submissions!$Q$5:$Q$304,0)),"NO DATA"))</f>
        <v/>
      </c>
      <c r="K33" s="68">
        <f>IF(OR($A33="",K$4=""),"",IFERROR(INDEX(Submissions!$L$5:$L$304,MATCH(K$4&amp;"|"&amp;K$5&amp;"|"&amp;$A33,Submissions!$Q$5:$Q$304,0)),"NO DATA"))</f>
        <v/>
      </c>
      <c r="L33" s="68">
        <f>IF(OR($A33="",L$4=""),"",IFERROR(INDEX(Submissions!$L$5:$L$304,MATCH(L$4&amp;"|"&amp;L$5&amp;"|"&amp;$A33,Submissions!$Q$5:$Q$304,0)),"NO DATA"))</f>
        <v/>
      </c>
      <c r="M33" s="68">
        <f>IF(OR($A33="",M$4=""),"",IFERROR(INDEX(Submissions!$L$5:$L$304,MATCH(M$4&amp;"|"&amp;M$5&amp;"|"&amp;$A33,Submissions!$Q$5:$Q$304,0)),"NO DATA"))</f>
        <v/>
      </c>
      <c r="N33" s="68">
        <f>IF(OR($A33="",N$4=""),"",IFERROR(INDEX(Submissions!$L$5:$L$304,MATCH(N$4&amp;"|"&amp;N$5&amp;"|"&amp;$A33,Submissions!$Q$5:$Q$304,0)),"NO DATA"))</f>
        <v/>
      </c>
    </row>
    <row r="34" ht="15" customHeight="1" s="34">
      <c r="A34" s="66">
        <f>IF(Baseline!A47="","",Baseline!A47)</f>
        <v/>
      </c>
      <c r="B34" s="66">
        <f>IF($A34="","",Baseline!B47)</f>
        <v/>
      </c>
      <c r="C34" s="66">
        <f>IF($A34="","",Baseline!C47)</f>
        <v/>
      </c>
      <c r="D34" s="70">
        <f>IF($A34="","",IF(Baseline!E47="","",Baseline!E47))</f>
        <v/>
      </c>
      <c r="E34" s="68">
        <f>IF(OR($A34="",E$4=""),"",IFERROR(INDEX(Submissions!$L$5:$L$304,MATCH(E$4&amp;"|"&amp;E$5&amp;"|"&amp;$A34,Submissions!$Q$5:$Q$304,0)),"NO DATA"))</f>
        <v/>
      </c>
      <c r="F34" s="68">
        <f>IF(OR($A34="",F$4=""),"",IFERROR(INDEX(Submissions!$L$5:$L$304,MATCH(F$4&amp;"|"&amp;F$5&amp;"|"&amp;$A34,Submissions!$Q$5:$Q$304,0)),"NO DATA"))</f>
        <v/>
      </c>
      <c r="G34" s="68">
        <f>IF(OR($A34="",G$4=""),"",IFERROR(INDEX(Submissions!$L$5:$L$304,MATCH(G$4&amp;"|"&amp;G$5&amp;"|"&amp;$A34,Submissions!$Q$5:$Q$304,0)),"NO DATA"))</f>
        <v/>
      </c>
      <c r="H34" s="68">
        <f>IF(OR($A34="",H$4=""),"",IFERROR(INDEX(Submissions!$L$5:$L$304,MATCH(H$4&amp;"|"&amp;H$5&amp;"|"&amp;$A34,Submissions!$Q$5:$Q$304,0)),"NO DATA"))</f>
        <v/>
      </c>
      <c r="I34" s="68">
        <f>IF(OR($A34="",I$4=""),"",IFERROR(INDEX(Submissions!$L$5:$L$304,MATCH(I$4&amp;"|"&amp;I$5&amp;"|"&amp;$A34,Submissions!$Q$5:$Q$304,0)),"NO DATA"))</f>
        <v/>
      </c>
      <c r="J34" s="68">
        <f>IF(OR($A34="",J$4=""),"",IFERROR(INDEX(Submissions!$L$5:$L$304,MATCH(J$4&amp;"|"&amp;J$5&amp;"|"&amp;$A34,Submissions!$Q$5:$Q$304,0)),"NO DATA"))</f>
        <v/>
      </c>
      <c r="K34" s="68">
        <f>IF(OR($A34="",K$4=""),"",IFERROR(INDEX(Submissions!$L$5:$L$304,MATCH(K$4&amp;"|"&amp;K$5&amp;"|"&amp;$A34,Submissions!$Q$5:$Q$304,0)),"NO DATA"))</f>
        <v/>
      </c>
      <c r="L34" s="68">
        <f>IF(OR($A34="",L$4=""),"",IFERROR(INDEX(Submissions!$L$5:$L$304,MATCH(L$4&amp;"|"&amp;L$5&amp;"|"&amp;$A34,Submissions!$Q$5:$Q$304,0)),"NO DATA"))</f>
        <v/>
      </c>
      <c r="M34" s="68">
        <f>IF(OR($A34="",M$4=""),"",IFERROR(INDEX(Submissions!$L$5:$L$304,MATCH(M$4&amp;"|"&amp;M$5&amp;"|"&amp;$A34,Submissions!$Q$5:$Q$304,0)),"NO DATA"))</f>
        <v/>
      </c>
      <c r="N34" s="68">
        <f>IF(OR($A34="",N$4=""),"",IFERROR(INDEX(Submissions!$L$5:$L$304,MATCH(N$4&amp;"|"&amp;N$5&amp;"|"&amp;$A34,Submissions!$Q$5:$Q$304,0)),"NO DATA"))</f>
        <v/>
      </c>
    </row>
    <row r="35" ht="15" customHeight="1" s="34">
      <c r="A35" s="66">
        <f>IF(Baseline!A48="","",Baseline!A48)</f>
        <v/>
      </c>
      <c r="B35" s="66">
        <f>IF($A35="","",Baseline!B48)</f>
        <v/>
      </c>
      <c r="C35" s="66">
        <f>IF($A35="","",Baseline!C48)</f>
        <v/>
      </c>
      <c r="D35" s="70">
        <f>IF($A35="","",IF(Baseline!E48="","",Baseline!E48))</f>
        <v/>
      </c>
      <c r="E35" s="68">
        <f>IF(OR($A35="",E$4=""),"",IFERROR(INDEX(Submissions!$L$5:$L$304,MATCH(E$4&amp;"|"&amp;E$5&amp;"|"&amp;$A35,Submissions!$Q$5:$Q$304,0)),"NO DATA"))</f>
        <v/>
      </c>
      <c r="F35" s="68">
        <f>IF(OR($A35="",F$4=""),"",IFERROR(INDEX(Submissions!$L$5:$L$304,MATCH(F$4&amp;"|"&amp;F$5&amp;"|"&amp;$A35,Submissions!$Q$5:$Q$304,0)),"NO DATA"))</f>
        <v/>
      </c>
      <c r="G35" s="68">
        <f>IF(OR($A35="",G$4=""),"",IFERROR(INDEX(Submissions!$L$5:$L$304,MATCH(G$4&amp;"|"&amp;G$5&amp;"|"&amp;$A35,Submissions!$Q$5:$Q$304,0)),"NO DATA"))</f>
        <v/>
      </c>
      <c r="H35" s="68">
        <f>IF(OR($A35="",H$4=""),"",IFERROR(INDEX(Submissions!$L$5:$L$304,MATCH(H$4&amp;"|"&amp;H$5&amp;"|"&amp;$A35,Submissions!$Q$5:$Q$304,0)),"NO DATA"))</f>
        <v/>
      </c>
      <c r="I35" s="68">
        <f>IF(OR($A35="",I$4=""),"",IFERROR(INDEX(Submissions!$L$5:$L$304,MATCH(I$4&amp;"|"&amp;I$5&amp;"|"&amp;$A35,Submissions!$Q$5:$Q$304,0)),"NO DATA"))</f>
        <v/>
      </c>
      <c r="J35" s="68">
        <f>IF(OR($A35="",J$4=""),"",IFERROR(INDEX(Submissions!$L$5:$L$304,MATCH(J$4&amp;"|"&amp;J$5&amp;"|"&amp;$A35,Submissions!$Q$5:$Q$304,0)),"NO DATA"))</f>
        <v/>
      </c>
      <c r="K35" s="68">
        <f>IF(OR($A35="",K$4=""),"",IFERROR(INDEX(Submissions!$L$5:$L$304,MATCH(K$4&amp;"|"&amp;K$5&amp;"|"&amp;$A35,Submissions!$Q$5:$Q$304,0)),"NO DATA"))</f>
        <v/>
      </c>
      <c r="L35" s="68">
        <f>IF(OR($A35="",L$4=""),"",IFERROR(INDEX(Submissions!$L$5:$L$304,MATCH(L$4&amp;"|"&amp;L$5&amp;"|"&amp;$A35,Submissions!$Q$5:$Q$304,0)),"NO DATA"))</f>
        <v/>
      </c>
      <c r="M35" s="68">
        <f>IF(OR($A35="",M$4=""),"",IFERROR(INDEX(Submissions!$L$5:$L$304,MATCH(M$4&amp;"|"&amp;M$5&amp;"|"&amp;$A35,Submissions!$Q$5:$Q$304,0)),"NO DATA"))</f>
        <v/>
      </c>
      <c r="N35" s="68">
        <f>IF(OR($A35="",N$4=""),"",IFERROR(INDEX(Submissions!$L$5:$L$304,MATCH(N$4&amp;"|"&amp;N$5&amp;"|"&amp;$A35,Submissions!$Q$5:$Q$304,0)),"NO DATA"))</f>
        <v/>
      </c>
    </row>
    <row r="36" ht="15" customHeight="1" s="34">
      <c r="A36" s="66">
        <f>IF(Baseline!A49="","",Baseline!A49)</f>
        <v/>
      </c>
      <c r="B36" s="66">
        <f>IF($A36="","",Baseline!B49)</f>
        <v/>
      </c>
      <c r="C36" s="66">
        <f>IF($A36="","",Baseline!C49)</f>
        <v/>
      </c>
      <c r="D36" s="70">
        <f>IF($A36="","",IF(Baseline!E49="","",Baseline!E49))</f>
        <v/>
      </c>
      <c r="E36" s="68">
        <f>IF(OR($A36="",E$4=""),"",IFERROR(INDEX(Submissions!$L$5:$L$304,MATCH(E$4&amp;"|"&amp;E$5&amp;"|"&amp;$A36,Submissions!$Q$5:$Q$304,0)),"NO DATA"))</f>
        <v/>
      </c>
      <c r="F36" s="68">
        <f>IF(OR($A36="",F$4=""),"",IFERROR(INDEX(Submissions!$L$5:$L$304,MATCH(F$4&amp;"|"&amp;F$5&amp;"|"&amp;$A36,Submissions!$Q$5:$Q$304,0)),"NO DATA"))</f>
        <v/>
      </c>
      <c r="G36" s="68">
        <f>IF(OR($A36="",G$4=""),"",IFERROR(INDEX(Submissions!$L$5:$L$304,MATCH(G$4&amp;"|"&amp;G$5&amp;"|"&amp;$A36,Submissions!$Q$5:$Q$304,0)),"NO DATA"))</f>
        <v/>
      </c>
      <c r="H36" s="68">
        <f>IF(OR($A36="",H$4=""),"",IFERROR(INDEX(Submissions!$L$5:$L$304,MATCH(H$4&amp;"|"&amp;H$5&amp;"|"&amp;$A36,Submissions!$Q$5:$Q$304,0)),"NO DATA"))</f>
        <v/>
      </c>
      <c r="I36" s="68">
        <f>IF(OR($A36="",I$4=""),"",IFERROR(INDEX(Submissions!$L$5:$L$304,MATCH(I$4&amp;"|"&amp;I$5&amp;"|"&amp;$A36,Submissions!$Q$5:$Q$304,0)),"NO DATA"))</f>
        <v/>
      </c>
      <c r="J36" s="68">
        <f>IF(OR($A36="",J$4=""),"",IFERROR(INDEX(Submissions!$L$5:$L$304,MATCH(J$4&amp;"|"&amp;J$5&amp;"|"&amp;$A36,Submissions!$Q$5:$Q$304,0)),"NO DATA"))</f>
        <v/>
      </c>
      <c r="K36" s="68">
        <f>IF(OR($A36="",K$4=""),"",IFERROR(INDEX(Submissions!$L$5:$L$304,MATCH(K$4&amp;"|"&amp;K$5&amp;"|"&amp;$A36,Submissions!$Q$5:$Q$304,0)),"NO DATA"))</f>
        <v/>
      </c>
      <c r="L36" s="68">
        <f>IF(OR($A36="",L$4=""),"",IFERROR(INDEX(Submissions!$L$5:$L$304,MATCH(L$4&amp;"|"&amp;L$5&amp;"|"&amp;$A36,Submissions!$Q$5:$Q$304,0)),"NO DATA"))</f>
        <v/>
      </c>
      <c r="M36" s="68">
        <f>IF(OR($A36="",M$4=""),"",IFERROR(INDEX(Submissions!$L$5:$L$304,MATCH(M$4&amp;"|"&amp;M$5&amp;"|"&amp;$A36,Submissions!$Q$5:$Q$304,0)),"NO DATA"))</f>
        <v/>
      </c>
      <c r="N36" s="68">
        <f>IF(OR($A36="",N$4=""),"",IFERROR(INDEX(Submissions!$L$5:$L$304,MATCH(N$4&amp;"|"&amp;N$5&amp;"|"&amp;$A36,Submissions!$Q$5:$Q$304,0)),"NO DATA"))</f>
        <v/>
      </c>
    </row>
    <row r="37" ht="15" customHeight="1" s="34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</row>
    <row r="38" ht="15" customHeight="1" s="34">
      <c r="A38" s="36" t="n"/>
      <c r="B38" s="36" t="n"/>
      <c r="C38" s="36" t="n"/>
      <c r="D38" s="38" t="inlineStr">
        <is>
          <t>RED lines</t>
        </is>
      </c>
      <c r="E38" s="68">
        <f>IF(E$4="","",COUNTIF(E7:E36,"RED"))</f>
        <v/>
      </c>
      <c r="F38" s="68">
        <f>IF(F$4="","",COUNTIF(F7:F36,"RED"))</f>
        <v/>
      </c>
      <c r="G38" s="68">
        <f>IF(G$4="","",COUNTIF(G7:G36,"RED"))</f>
        <v/>
      </c>
      <c r="H38" s="68">
        <f>IF(H$4="","",COUNTIF(H7:H36,"RED"))</f>
        <v/>
      </c>
      <c r="I38" s="68">
        <f>IF(I$4="","",COUNTIF(I7:I36,"RED"))</f>
        <v/>
      </c>
      <c r="J38" s="68">
        <f>IF(J$4="","",COUNTIF(J7:J36,"RED"))</f>
        <v/>
      </c>
      <c r="K38" s="68">
        <f>IF(K$4="","",COUNTIF(K7:K36,"RED"))</f>
        <v/>
      </c>
      <c r="L38" s="68">
        <f>IF(L$4="","",COUNTIF(L7:L36,"RED"))</f>
        <v/>
      </c>
      <c r="M38" s="68">
        <f>IF(M$4="","",COUNTIF(M7:M36,"RED"))</f>
        <v/>
      </c>
      <c r="N38" s="68">
        <f>IF(N$4="","",COUNTIF(N7:N36,"RED"))</f>
        <v/>
      </c>
    </row>
    <row r="39" ht="15" customHeight="1" s="34">
      <c r="A39" s="36" t="n"/>
      <c r="B39" s="36" t="n"/>
      <c r="C39" s="36" t="n"/>
      <c r="D39" s="38" t="inlineStr">
        <is>
          <t>YELLOW lines</t>
        </is>
      </c>
      <c r="E39" s="68">
        <f>IF(E$4="","",COUNTIF(E7:E36,"YELLOW"))</f>
        <v/>
      </c>
      <c r="F39" s="68">
        <f>IF(F$4="","",COUNTIF(F7:F36,"YELLOW"))</f>
        <v/>
      </c>
      <c r="G39" s="68">
        <f>IF(G$4="","",COUNTIF(G7:G36,"YELLOW"))</f>
        <v/>
      </c>
      <c r="H39" s="68">
        <f>IF(H$4="","",COUNTIF(H7:H36,"YELLOW"))</f>
        <v/>
      </c>
      <c r="I39" s="68">
        <f>IF(I$4="","",COUNTIF(I7:I36,"YELLOW"))</f>
        <v/>
      </c>
      <c r="J39" s="68">
        <f>IF(J$4="","",COUNTIF(J7:J36,"YELLOW"))</f>
        <v/>
      </c>
      <c r="K39" s="68">
        <f>IF(K$4="","",COUNTIF(K7:K36,"YELLOW"))</f>
        <v/>
      </c>
      <c r="L39" s="68">
        <f>IF(L$4="","",COUNTIF(L7:L36,"YELLOW"))</f>
        <v/>
      </c>
      <c r="M39" s="68">
        <f>IF(M$4="","",COUNTIF(M7:M36,"YELLOW"))</f>
        <v/>
      </c>
      <c r="N39" s="68">
        <f>IF(N$4="","",COUNTIF(N7:N36,"YELLOW"))</f>
        <v/>
      </c>
    </row>
    <row r="40" ht="15" customHeight="1" s="34">
      <c r="A40" s="36" t="n"/>
      <c r="B40" s="36" t="n"/>
      <c r="C40" s="36" t="n"/>
      <c r="D40" s="38" t="inlineStr">
        <is>
          <t>CLEARED lines</t>
        </is>
      </c>
      <c r="E40" s="68">
        <f>IF(E$4="","",COUNTIF(E7:E36,"CLEARED"))</f>
        <v/>
      </c>
      <c r="F40" s="68">
        <f>IF(F$4="","",COUNTIF(F7:F36,"CLEARED"))</f>
        <v/>
      </c>
      <c r="G40" s="68">
        <f>IF(G$4="","",COUNTIF(G7:G36,"CLEARED"))</f>
        <v/>
      </c>
      <c r="H40" s="68">
        <f>IF(H$4="","",COUNTIF(H7:H36,"CLEARED"))</f>
        <v/>
      </c>
      <c r="I40" s="68">
        <f>IF(I$4="","",COUNTIF(I7:I36,"CLEARED"))</f>
        <v/>
      </c>
      <c r="J40" s="68">
        <f>IF(J$4="","",COUNTIF(J7:J36,"CLEARED"))</f>
        <v/>
      </c>
      <c r="K40" s="68">
        <f>IF(K$4="","",COUNTIF(K7:K36,"CLEARED"))</f>
        <v/>
      </c>
      <c r="L40" s="68">
        <f>IF(L$4="","",COUNTIF(L7:L36,"CLEARED"))</f>
        <v/>
      </c>
      <c r="M40" s="68">
        <f>IF(M$4="","",COUNTIF(M7:M36,"CLEARED"))</f>
        <v/>
      </c>
      <c r="N40" s="68">
        <f>IF(N$4="","",COUNTIF(N7:N36,"CLEARED"))</f>
        <v/>
      </c>
    </row>
    <row r="41" ht="15" customHeight="1" s="34">
      <c r="A41" s="36" t="n"/>
      <c r="B41" s="36" t="n"/>
      <c r="C41" s="36" t="n"/>
      <c r="D41" s="38" t="inlineStr">
        <is>
          <t>Overall status</t>
        </is>
      </c>
      <c r="E41" s="68">
        <f>IF(E$4="","",IF(COUNTIF(E7:E36,"NO DATA")&gt;0,"INCOMPLETE",IF(E38&gt;0,"RED",IF(E39&gt;0,"YELLOW","GREEN"))))</f>
        <v/>
      </c>
      <c r="F41" s="68">
        <f>IF(F$4="","",IF(COUNTIF(F7:F36,"NO DATA")&gt;0,"INCOMPLETE",IF(F38&gt;0,"RED",IF(F39&gt;0,"YELLOW","GREEN"))))</f>
        <v/>
      </c>
      <c r="G41" s="68">
        <f>IF(G$4="","",IF(COUNTIF(G7:G36,"NO DATA")&gt;0,"INCOMPLETE",IF(G38&gt;0,"RED",IF(G39&gt;0,"YELLOW","GREEN"))))</f>
        <v/>
      </c>
      <c r="H41" s="68">
        <f>IF(H$4="","",IF(COUNTIF(H7:H36,"NO DATA")&gt;0,"INCOMPLETE",IF(H38&gt;0,"RED",IF(H39&gt;0,"YELLOW","GREEN"))))</f>
        <v/>
      </c>
      <c r="I41" s="68">
        <f>IF(I$4="","",IF(COUNTIF(I7:I36,"NO DATA")&gt;0,"INCOMPLETE",IF(I38&gt;0,"RED",IF(I39&gt;0,"YELLOW","GREEN"))))</f>
        <v/>
      </c>
      <c r="J41" s="68">
        <f>IF(J$4="","",IF(COUNTIF(J7:J36,"NO DATA")&gt;0,"INCOMPLETE",IF(J38&gt;0,"RED",IF(J39&gt;0,"YELLOW","GREEN"))))</f>
        <v/>
      </c>
      <c r="K41" s="68">
        <f>IF(K$4="","",IF(COUNTIF(K7:K36,"NO DATA")&gt;0,"INCOMPLETE",IF(K38&gt;0,"RED",IF(K39&gt;0,"YELLOW","GREEN"))))</f>
        <v/>
      </c>
      <c r="L41" s="68">
        <f>IF(L$4="","",IF(COUNTIF(L7:L36,"NO DATA")&gt;0,"INCOMPLETE",IF(L38&gt;0,"RED",IF(L39&gt;0,"YELLOW","GREEN"))))</f>
        <v/>
      </c>
      <c r="M41" s="68">
        <f>IF(M$4="","",IF(COUNTIF(M7:M36,"NO DATA")&gt;0,"INCOMPLETE",IF(M38&gt;0,"RED",IF(M39&gt;0,"YELLOW","GREEN"))))</f>
        <v/>
      </c>
      <c r="N41" s="68">
        <f>IF(N$4="","",IF(COUNTIF(N7:N36,"NO DATA")&gt;0,"INCOMPLETE",IF(N38&gt;0,"RED",IF(N39&gt;0,"YELLOW","GREEN"))))</f>
        <v/>
      </c>
    </row>
    <row r="42" ht="15" customHeight="1" s="34">
      <c r="A42" s="36" t="n"/>
      <c r="B42" s="36" t="n"/>
      <c r="C42" s="36" t="n"/>
      <c r="D42" s="38" t="inlineStr">
        <is>
          <t>Eligible for evaluation</t>
        </is>
      </c>
      <c r="E42" s="68">
        <f>IF(E$4="","",IF(E41="GREEN","YES","NO"))</f>
        <v/>
      </c>
      <c r="F42" s="68">
        <f>IF(F$4="","",IF(F41="GREEN","YES","NO"))</f>
        <v/>
      </c>
      <c r="G42" s="68">
        <f>IF(G$4="","",IF(G41="GREEN","YES","NO"))</f>
        <v/>
      </c>
      <c r="H42" s="68">
        <f>IF(H$4="","",IF(H41="GREEN","YES","NO"))</f>
        <v/>
      </c>
      <c r="I42" s="68">
        <f>IF(I$4="","",IF(I41="GREEN","YES","NO"))</f>
        <v/>
      </c>
      <c r="J42" s="68">
        <f>IF(J$4="","",IF(J41="GREEN","YES","NO"))</f>
        <v/>
      </c>
      <c r="K42" s="68">
        <f>IF(K$4="","",IF(K41="GREEN","YES","NO"))</f>
        <v/>
      </c>
      <c r="L42" s="68">
        <f>IF(L$4="","",IF(L41="GREEN","YES","NO"))</f>
        <v/>
      </c>
      <c r="M42" s="68">
        <f>IF(M$4="","",IF(M41="GREEN","YES","NO"))</f>
        <v/>
      </c>
      <c r="N42" s="68">
        <f>IF(N$4="","",IF(N41="GREEN","YES","NO"))</f>
        <v/>
      </c>
    </row>
  </sheetData>
  <conditionalFormatting sqref="E7:N36">
    <cfRule type="cellIs" rank="0" priority="2" equalAverage="0" operator="equal" aboveAverage="0" dxfId="0" text="" percent="0" bottom="0">
      <formula>"RED"</formula>
    </cfRule>
    <cfRule type="cellIs" rank="0" priority="3" equalAverage="0" operator="equal" aboveAverage="0" dxfId="1" text="" percent="0" bottom="0">
      <formula>"YELLOW"</formula>
    </cfRule>
    <cfRule type="cellIs" rank="0" priority="4" equalAverage="0" operator="equal" aboveAverage="0" dxfId="2" text="" percent="0" bottom="0">
      <formula>"GREEN"</formula>
    </cfRule>
    <cfRule type="cellIs" rank="0" priority="5" equalAverage="0" operator="equal" aboveAverage="0" dxfId="2" text="" percent="0" bottom="0">
      <formula>"CLEARED"</formula>
    </cfRule>
    <cfRule type="cellIs" rank="0" priority="6" equalAverage="0" operator="equal" aboveAverage="0" dxfId="2" text="" percent="0" bottom="0">
      <formula>"YES"</formula>
    </cfRule>
    <cfRule type="cellIs" rank="0" priority="7" equalAverage="0" operator="equal" aboveAverage="0" dxfId="0" text="" percent="0" bottom="0">
      <formula>"NO"</formula>
    </cfRule>
    <cfRule type="cellIs" rank="0" priority="8" equalAverage="0" operator="equal" aboveAverage="0" dxfId="3" text="" percent="0" bottom="0">
      <formula>"INCOMPLETE"</formula>
    </cfRule>
    <cfRule type="cellIs" rank="0" priority="9" equalAverage="0" operator="equal" aboveAverage="0" dxfId="3" text="" percent="0" bottom="0">
      <formula>"NO DATA"</formula>
    </cfRule>
  </conditionalFormatting>
  <conditionalFormatting sqref="E41:N42">
    <cfRule type="cellIs" rank="0" priority="10" equalAverage="0" operator="equal" aboveAverage="0" dxfId="0" text="" percent="0" bottom="0">
      <formula>"RED"</formula>
    </cfRule>
    <cfRule type="cellIs" rank="0" priority="11" equalAverage="0" operator="equal" aboveAverage="0" dxfId="1" text="" percent="0" bottom="0">
      <formula>"YELLOW"</formula>
    </cfRule>
    <cfRule type="cellIs" rank="0" priority="12" equalAverage="0" operator="equal" aboveAverage="0" dxfId="2" text="" percent="0" bottom="0">
      <formula>"GREEN"</formula>
    </cfRule>
    <cfRule type="cellIs" rank="0" priority="13" equalAverage="0" operator="equal" aboveAverage="0" dxfId="2" text="" percent="0" bottom="0">
      <formula>"CLEARED"</formula>
    </cfRule>
    <cfRule type="cellIs" rank="0" priority="14" equalAverage="0" operator="equal" aboveAverage="0" dxfId="2" text="" percent="0" bottom="0">
      <formula>"YES"</formula>
    </cfRule>
    <cfRule type="cellIs" rank="0" priority="15" equalAverage="0" operator="equal" aboveAverage="0" dxfId="0" text="" percent="0" bottom="0">
      <formula>"NO"</formula>
    </cfRule>
    <cfRule type="cellIs" rank="0" priority="16" equalAverage="0" operator="equal" aboveAverage="0" dxfId="3" text="" percent="0" bottom="0">
      <formula>"INCOMPLETE"</formula>
    </cfRule>
    <cfRule type="cellIs" rank="0" priority="17" equalAverage="0" operator="equal" aboveAverage="0" dxfId="3" text="" percent="0" bottom="0">
      <formula>"NO DATA"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33" min="1" max="1"/>
    <col width="10" customWidth="1" style="33" min="2" max="2"/>
    <col width="12" customWidth="1" style="33" min="3" max="5"/>
    <col width="16" customWidth="1" style="33" min="6" max="6"/>
    <col width="13" customWidth="1" style="33" min="7" max="7"/>
    <col width="16" customWidth="1" style="33" min="8" max="8"/>
    <col width="8" customWidth="1" style="33" min="9" max="9"/>
    <col width="16" customWidth="1" style="33" min="10" max="10"/>
    <col width="11" customWidth="1" style="33" min="11" max="11"/>
    <col width="50" customWidth="1" style="33" min="12" max="12"/>
  </cols>
  <sheetData>
    <row r="1" ht="17.35" customHeight="1" s="34">
      <c r="A1" s="35" t="inlineStr">
        <is>
          <t>Commercial Evaluation (RFQ quantities, ex-VAT, SAR)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</row>
    <row r="2" ht="15" customHeight="1" s="34">
      <c r="A2" s="37" t="inlineStr">
        <is>
          <t>Evaluated total counts eligible suppliers only. Indicative total shows all bids for reference; not for award.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</row>
    <row r="3" ht="15" customHeight="1" s="34">
      <c r="A3" s="36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</row>
    <row r="4" ht="15" customHeight="1" s="34">
      <c r="A4" s="39">
        <f>Baseline!B11</f>
        <v/>
      </c>
      <c r="B4" s="71">
        <f>Baseline!D11</f>
        <v/>
      </c>
      <c r="C4" s="39">
        <f>Baseline!C11</f>
        <v/>
      </c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</row>
    <row r="5" ht="15" customHeight="1" s="34">
      <c r="A5" s="39">
        <f>Baseline!B12</f>
        <v/>
      </c>
      <c r="B5" s="71">
        <f>Baseline!D12</f>
        <v/>
      </c>
      <c r="C5" s="39">
        <f>Baseline!C12</f>
        <v/>
      </c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</row>
    <row r="6" ht="15" customHeight="1" s="34">
      <c r="A6" s="39">
        <f>Baseline!B13</f>
        <v/>
      </c>
      <c r="B6" s="71">
        <f>Baseline!D13</f>
        <v/>
      </c>
      <c r="C6" s="39">
        <f>Baseline!C13</f>
        <v/>
      </c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</row>
    <row r="7" ht="15" customHeight="1" s="34">
      <c r="A7" s="36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</row>
    <row r="8" ht="42" customHeight="1" s="34">
      <c r="A8" s="48" t="inlineStr">
        <is>
          <t>Supplier</t>
        </is>
      </c>
      <c r="B8" s="48" t="inlineStr">
        <is>
          <t>Eligible</t>
        </is>
      </c>
      <c r="C8" s="48" t="inlineStr">
        <is>
          <t>Rate item 1</t>
        </is>
      </c>
      <c r="D8" s="48" t="inlineStr">
        <is>
          <t>Rate item 2</t>
        </is>
      </c>
      <c r="E8" s="48" t="inlineStr">
        <is>
          <t>Rate item 3</t>
        </is>
      </c>
      <c r="F8" s="48" t="inlineStr">
        <is>
          <t>Quoted total @ RFQ qty</t>
        </is>
      </c>
      <c r="G8" s="48" t="inlineStr">
        <is>
          <t>Adjustments</t>
        </is>
      </c>
      <c r="H8" s="48" t="inlineStr">
        <is>
          <t>Evaluated total (eligible)</t>
        </is>
      </c>
      <c r="I8" s="48" t="inlineStr">
        <is>
          <t>Rank</t>
        </is>
      </c>
      <c r="J8" s="48" t="inlineStr">
        <is>
          <t>Indicative total (all bids)</t>
        </is>
      </c>
      <c r="K8" s="48" t="inlineStr">
        <is>
          <t>Indicative rank</t>
        </is>
      </c>
      <c r="L8" s="48" t="inlineStr">
        <is>
          <t>Note</t>
        </is>
      </c>
    </row>
    <row r="9" ht="15" customHeight="1" s="34">
      <c r="A9" s="66">
        <f>IF('Compliance Matrix'!E4="","",'Compliance Matrix'!E4)</f>
        <v/>
      </c>
      <c r="B9" s="68">
        <f>IF(A9="","",'Compliance Matrix'!E42)</f>
        <v/>
      </c>
      <c r="C9" s="72" t="n"/>
      <c r="D9" s="72" t="n"/>
      <c r="E9" s="72" t="n"/>
      <c r="F9" s="73">
        <f>IF(A9="","",IF(COUNT(C9:E9)&lt;3,"Incomplete",C9*$B$4+D9*$B$5+E9*$B$6))</f>
        <v/>
      </c>
      <c r="G9" s="72" t="n"/>
      <c r="H9" s="73">
        <f>IF(A9="","",IF(B9&lt;&gt;"YES","Not eligible",IF(ISNUMBER(F9),F9+N(G9),"Incomplete")))</f>
        <v/>
      </c>
      <c r="I9" s="68">
        <f>IF(ISNUMBER(H9),COUNTIF($H$9:$H$18,"&lt;"&amp;H9)+1,"")</f>
        <v/>
      </c>
      <c r="J9" s="73">
        <f>IF(A9="","",IF(ISNUMBER(F9),F9+N(G9),"Incomplete"))</f>
        <v/>
      </c>
      <c r="K9" s="68">
        <f>IF(ISNUMBER(J9),COUNTIF($J$9:$J$18,"&lt;"&amp;J9)+1,"")</f>
        <v/>
      </c>
      <c r="L9" s="43" t="n"/>
    </row>
    <row r="10" ht="15" customHeight="1" s="34">
      <c r="A10" s="66">
        <f>IF('Compliance Matrix'!F4="","",'Compliance Matrix'!F4)</f>
        <v/>
      </c>
      <c r="B10" s="68">
        <f>IF(A10="","",'Compliance Matrix'!F42)</f>
        <v/>
      </c>
      <c r="C10" s="72" t="n"/>
      <c r="D10" s="72" t="n"/>
      <c r="E10" s="72" t="n"/>
      <c r="F10" s="73">
        <f>IF(A10="","",IF(COUNT(C10:E10)&lt;3,"Incomplete",C10*$B$4+D10*$B$5+E10*$B$6))</f>
        <v/>
      </c>
      <c r="G10" s="72" t="n"/>
      <c r="H10" s="73">
        <f>IF(A10="","",IF(B10&lt;&gt;"YES","Not eligible",IF(ISNUMBER(F10),F10+N(G10),"Incomplete")))</f>
        <v/>
      </c>
      <c r="I10" s="68">
        <f>IF(ISNUMBER(H10),COUNTIF($H$9:$H$18,"&lt;"&amp;H10)+1,"")</f>
        <v/>
      </c>
      <c r="J10" s="73">
        <f>IF(A10="","",IF(ISNUMBER(F10),F10+N(G10),"Incomplete"))</f>
        <v/>
      </c>
      <c r="K10" s="68">
        <f>IF(ISNUMBER(J10),COUNTIF($J$9:$J$18,"&lt;"&amp;J10)+1,"")</f>
        <v/>
      </c>
      <c r="L10" s="43" t="n"/>
    </row>
    <row r="11" ht="15" customHeight="1" s="34">
      <c r="A11" s="66">
        <f>IF('Compliance Matrix'!G4="","",'Compliance Matrix'!G4)</f>
        <v/>
      </c>
      <c r="B11" s="68">
        <f>IF(A11="","",'Compliance Matrix'!G42)</f>
        <v/>
      </c>
      <c r="C11" s="72" t="n"/>
      <c r="D11" s="72" t="n"/>
      <c r="E11" s="72" t="n"/>
      <c r="F11" s="73">
        <f>IF(A11="","",IF(COUNT(C11:E11)&lt;3,"Incomplete",C11*$B$4+D11*$B$5+E11*$B$6))</f>
        <v/>
      </c>
      <c r="G11" s="72" t="n"/>
      <c r="H11" s="73">
        <f>IF(A11="","",IF(B11&lt;&gt;"YES","Not eligible",IF(ISNUMBER(F11),F11+N(G11),"Incomplete")))</f>
        <v/>
      </c>
      <c r="I11" s="68">
        <f>IF(ISNUMBER(H11),COUNTIF($H$9:$H$18,"&lt;"&amp;H11)+1,"")</f>
        <v/>
      </c>
      <c r="J11" s="73">
        <f>IF(A11="","",IF(ISNUMBER(F11),F11+N(G11),"Incomplete"))</f>
        <v/>
      </c>
      <c r="K11" s="68">
        <f>IF(ISNUMBER(J11),COUNTIF($J$9:$J$18,"&lt;"&amp;J11)+1,"")</f>
        <v/>
      </c>
      <c r="L11" s="43" t="n"/>
    </row>
    <row r="12" ht="15" customHeight="1" s="34">
      <c r="A12" s="66">
        <f>IF('Compliance Matrix'!H4="","",'Compliance Matrix'!H4)</f>
        <v/>
      </c>
      <c r="B12" s="68">
        <f>IF(A12="","",'Compliance Matrix'!H42)</f>
        <v/>
      </c>
      <c r="C12" s="72" t="n"/>
      <c r="D12" s="72" t="n"/>
      <c r="E12" s="72" t="n"/>
      <c r="F12" s="73">
        <f>IF(A12="","",IF(COUNT(C12:E12)&lt;3,"Incomplete",C12*$B$4+D12*$B$5+E12*$B$6))</f>
        <v/>
      </c>
      <c r="G12" s="72" t="n"/>
      <c r="H12" s="73">
        <f>IF(A12="","",IF(B12&lt;&gt;"YES","Not eligible",IF(ISNUMBER(F12),F12+N(G12),"Incomplete")))</f>
        <v/>
      </c>
      <c r="I12" s="68">
        <f>IF(ISNUMBER(H12),COUNTIF($H$9:$H$18,"&lt;"&amp;H12)+1,"")</f>
        <v/>
      </c>
      <c r="J12" s="73">
        <f>IF(A12="","",IF(ISNUMBER(F12),F12+N(G12),"Incomplete"))</f>
        <v/>
      </c>
      <c r="K12" s="68">
        <f>IF(ISNUMBER(J12),COUNTIF($J$9:$J$18,"&lt;"&amp;J12)+1,"")</f>
        <v/>
      </c>
      <c r="L12" s="43" t="n"/>
    </row>
    <row r="13" ht="15" customHeight="1" s="34">
      <c r="A13" s="66">
        <f>IF('Compliance Matrix'!I4="","",'Compliance Matrix'!I4)</f>
        <v/>
      </c>
      <c r="B13" s="68">
        <f>IF(A13="","",'Compliance Matrix'!I42)</f>
        <v/>
      </c>
      <c r="C13" s="72" t="n"/>
      <c r="D13" s="72" t="n"/>
      <c r="E13" s="72" t="n"/>
      <c r="F13" s="73">
        <f>IF(A13="","",IF(COUNT(C13:E13)&lt;3,"Incomplete",C13*$B$4+D13*$B$5+E13*$B$6))</f>
        <v/>
      </c>
      <c r="G13" s="72" t="n"/>
      <c r="H13" s="73">
        <f>IF(A13="","",IF(B13&lt;&gt;"YES","Not eligible",IF(ISNUMBER(F13),F13+N(G13),"Incomplete")))</f>
        <v/>
      </c>
      <c r="I13" s="68">
        <f>IF(ISNUMBER(H13),COUNTIF($H$9:$H$18,"&lt;"&amp;H13)+1,"")</f>
        <v/>
      </c>
      <c r="J13" s="73">
        <f>IF(A13="","",IF(ISNUMBER(F13),F13+N(G13),"Incomplete"))</f>
        <v/>
      </c>
      <c r="K13" s="68">
        <f>IF(ISNUMBER(J13),COUNTIF($J$9:$J$18,"&lt;"&amp;J13)+1,"")</f>
        <v/>
      </c>
      <c r="L13" s="43" t="n"/>
    </row>
    <row r="14" ht="15" customHeight="1" s="34">
      <c r="A14" s="66">
        <f>IF('Compliance Matrix'!J4="","",'Compliance Matrix'!J4)</f>
        <v/>
      </c>
      <c r="B14" s="68">
        <f>IF(A14="","",'Compliance Matrix'!J42)</f>
        <v/>
      </c>
      <c r="C14" s="72" t="n"/>
      <c r="D14" s="72" t="n"/>
      <c r="E14" s="72" t="n"/>
      <c r="F14" s="73">
        <f>IF(A14="","",IF(COUNT(C14:E14)&lt;3,"Incomplete",C14*$B$4+D14*$B$5+E14*$B$6))</f>
        <v/>
      </c>
      <c r="G14" s="72" t="n"/>
      <c r="H14" s="73">
        <f>IF(A14="","",IF(B14&lt;&gt;"YES","Not eligible",IF(ISNUMBER(F14),F14+N(G14),"Incomplete")))</f>
        <v/>
      </c>
      <c r="I14" s="68">
        <f>IF(ISNUMBER(H14),COUNTIF($H$9:$H$18,"&lt;"&amp;H14)+1,"")</f>
        <v/>
      </c>
      <c r="J14" s="73">
        <f>IF(A14="","",IF(ISNUMBER(F14),F14+N(G14),"Incomplete"))</f>
        <v/>
      </c>
      <c r="K14" s="68">
        <f>IF(ISNUMBER(J14),COUNTIF($J$9:$J$18,"&lt;"&amp;J14)+1,"")</f>
        <v/>
      </c>
      <c r="L14" s="43" t="n"/>
    </row>
    <row r="15" ht="15" customHeight="1" s="34">
      <c r="A15" s="66">
        <f>IF('Compliance Matrix'!K4="","",'Compliance Matrix'!K4)</f>
        <v/>
      </c>
      <c r="B15" s="68">
        <f>IF(A15="","",'Compliance Matrix'!K42)</f>
        <v/>
      </c>
      <c r="C15" s="72" t="n"/>
      <c r="D15" s="72" t="n"/>
      <c r="E15" s="72" t="n"/>
      <c r="F15" s="73">
        <f>IF(A15="","",IF(COUNT(C15:E15)&lt;3,"Incomplete",C15*$B$4+D15*$B$5+E15*$B$6))</f>
        <v/>
      </c>
      <c r="G15" s="72" t="n"/>
      <c r="H15" s="73">
        <f>IF(A15="","",IF(B15&lt;&gt;"YES","Not eligible",IF(ISNUMBER(F15),F15+N(G15),"Incomplete")))</f>
        <v/>
      </c>
      <c r="I15" s="68">
        <f>IF(ISNUMBER(H15),COUNTIF($H$9:$H$18,"&lt;"&amp;H15)+1,"")</f>
        <v/>
      </c>
      <c r="J15" s="73">
        <f>IF(A15="","",IF(ISNUMBER(F15),F15+N(G15),"Incomplete"))</f>
        <v/>
      </c>
      <c r="K15" s="68">
        <f>IF(ISNUMBER(J15),COUNTIF($J$9:$J$18,"&lt;"&amp;J15)+1,"")</f>
        <v/>
      </c>
      <c r="L15" s="43" t="n"/>
    </row>
    <row r="16" ht="15" customHeight="1" s="34">
      <c r="A16" s="66">
        <f>IF('Compliance Matrix'!L4="","",'Compliance Matrix'!L4)</f>
        <v/>
      </c>
      <c r="B16" s="68">
        <f>IF(A16="","",'Compliance Matrix'!L42)</f>
        <v/>
      </c>
      <c r="C16" s="72" t="n"/>
      <c r="D16" s="72" t="n"/>
      <c r="E16" s="72" t="n"/>
      <c r="F16" s="73">
        <f>IF(A16="","",IF(COUNT(C16:E16)&lt;3,"Incomplete",C16*$B$4+D16*$B$5+E16*$B$6))</f>
        <v/>
      </c>
      <c r="G16" s="72" t="n"/>
      <c r="H16" s="73">
        <f>IF(A16="","",IF(B16&lt;&gt;"YES","Not eligible",IF(ISNUMBER(F16),F16+N(G16),"Incomplete")))</f>
        <v/>
      </c>
      <c r="I16" s="68">
        <f>IF(ISNUMBER(H16),COUNTIF($H$9:$H$18,"&lt;"&amp;H16)+1,"")</f>
        <v/>
      </c>
      <c r="J16" s="73">
        <f>IF(A16="","",IF(ISNUMBER(F16),F16+N(G16),"Incomplete"))</f>
        <v/>
      </c>
      <c r="K16" s="68">
        <f>IF(ISNUMBER(J16),COUNTIF($J$9:$J$18,"&lt;"&amp;J16)+1,"")</f>
        <v/>
      </c>
      <c r="L16" s="43" t="n"/>
    </row>
    <row r="17" ht="15" customHeight="1" s="34">
      <c r="A17" s="66">
        <f>IF('Compliance Matrix'!M4="","",'Compliance Matrix'!M4)</f>
        <v/>
      </c>
      <c r="B17" s="68">
        <f>IF(A17="","",'Compliance Matrix'!M42)</f>
        <v/>
      </c>
      <c r="C17" s="72" t="n"/>
      <c r="D17" s="72" t="n"/>
      <c r="E17" s="72" t="n"/>
      <c r="F17" s="73">
        <f>IF(A17="","",IF(COUNT(C17:E17)&lt;3,"Incomplete",C17*$B$4+D17*$B$5+E17*$B$6))</f>
        <v/>
      </c>
      <c r="G17" s="72" t="n"/>
      <c r="H17" s="73">
        <f>IF(A17="","",IF(B17&lt;&gt;"YES","Not eligible",IF(ISNUMBER(F17),F17+N(G17),"Incomplete")))</f>
        <v/>
      </c>
      <c r="I17" s="68">
        <f>IF(ISNUMBER(H17),COUNTIF($H$9:$H$18,"&lt;"&amp;H17)+1,"")</f>
        <v/>
      </c>
      <c r="J17" s="73">
        <f>IF(A17="","",IF(ISNUMBER(F17),F17+N(G17),"Incomplete"))</f>
        <v/>
      </c>
      <c r="K17" s="68">
        <f>IF(ISNUMBER(J17),COUNTIF($J$9:$J$18,"&lt;"&amp;J17)+1,"")</f>
        <v/>
      </c>
      <c r="L17" s="43" t="n"/>
    </row>
    <row r="18" ht="15" customHeight="1" s="34">
      <c r="A18" s="66">
        <f>IF('Compliance Matrix'!N4="","",'Compliance Matrix'!N4)</f>
        <v/>
      </c>
      <c r="B18" s="68">
        <f>IF(A18="","",'Compliance Matrix'!N42)</f>
        <v/>
      </c>
      <c r="C18" s="72" t="n"/>
      <c r="D18" s="72" t="n"/>
      <c r="E18" s="72" t="n"/>
      <c r="F18" s="73">
        <f>IF(A18="","",IF(COUNT(C18:E18)&lt;3,"Incomplete",C18*$B$4+D18*$B$5+E18*$B$6))</f>
        <v/>
      </c>
      <c r="G18" s="72" t="n"/>
      <c r="H18" s="73">
        <f>IF(A18="","",IF(B18&lt;&gt;"YES","Not eligible",IF(ISNUMBER(F18),F18+N(G18),"Incomplete")))</f>
        <v/>
      </c>
      <c r="I18" s="68">
        <f>IF(ISNUMBER(H18),COUNTIF($H$9:$H$18,"&lt;"&amp;H18)+1,"")</f>
        <v/>
      </c>
      <c r="J18" s="73">
        <f>IF(A18="","",IF(ISNUMBER(F18),F18+N(G18),"Incomplete"))</f>
        <v/>
      </c>
      <c r="K18" s="68">
        <f>IF(ISNUMBER(J18),COUNTIF($J$9:$J$18,"&lt;"&amp;J18)+1,"")</f>
        <v/>
      </c>
      <c r="L18" s="43" t="n"/>
    </row>
    <row r="19"/>
    <row r="20">
      <c r="A20" s="37" t="inlineStr">
        <is>
          <t>Rates are SAR per m2, ex-VAT, as quoted. Adjustments: positive = added cost (e.g. priced exclusions). Quoted prices are never overwritten.</t>
        </is>
      </c>
    </row>
  </sheetData>
  <conditionalFormatting sqref="B9:B18">
    <cfRule type="cellIs" rank="0" priority="2" equalAverage="0" operator="equal" aboveAverage="0" dxfId="0" text="" percent="0" bottom="0">
      <formula>"RED"</formula>
    </cfRule>
    <cfRule type="cellIs" rank="0" priority="3" equalAverage="0" operator="equal" aboveAverage="0" dxfId="1" text="" percent="0" bottom="0">
      <formula>"YELLOW"</formula>
    </cfRule>
    <cfRule type="cellIs" rank="0" priority="4" equalAverage="0" operator="equal" aboveAverage="0" dxfId="2" text="" percent="0" bottom="0">
      <formula>"GREEN"</formula>
    </cfRule>
    <cfRule type="cellIs" rank="0" priority="5" equalAverage="0" operator="equal" aboveAverage="0" dxfId="2" text="" percent="0" bottom="0">
      <formula>"CLEARED"</formula>
    </cfRule>
    <cfRule type="cellIs" rank="0" priority="6" equalAverage="0" operator="equal" aboveAverage="0" dxfId="2" text="" percent="0" bottom="0">
      <formula>"YES"</formula>
    </cfRule>
    <cfRule type="cellIs" rank="0" priority="7" equalAverage="0" operator="equal" aboveAverage="0" dxfId="0" text="" percent="0" bottom="0">
      <formula>"NO"</formula>
    </cfRule>
    <cfRule type="cellIs" rank="0" priority="8" equalAverage="0" operator="equal" aboveAverage="0" dxfId="3" text="" percent="0" bottom="0">
      <formula>"INCOMPLETE"</formula>
    </cfRule>
    <cfRule type="cellIs" rank="0" priority="9" equalAverage="0" operator="equal" aboveAverage="0" dxfId="3" text="" percent="0" bottom="0">
      <formula>"NO DATA"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33" min="1" max="1"/>
    <col width="60" customWidth="1" style="33" min="2" max="2"/>
    <col width="13" customWidth="1" style="33" min="3" max="4"/>
    <col width="40" customWidth="1" style="33" min="5" max="5"/>
  </cols>
  <sheetData>
    <row r="1" ht="17.35" customHeight="1" s="34">
      <c r="A1" s="35" t="inlineStr">
        <is>
          <t>Award Approval</t>
        </is>
      </c>
      <c r="B1" s="36" t="n"/>
      <c r="C1" s="36" t="n"/>
      <c r="D1" s="36" t="n"/>
      <c r="E1" s="36" t="n"/>
    </row>
    <row r="2" ht="15" customHeight="1" s="34">
      <c r="A2" s="36" t="n"/>
      <c r="B2" s="36" t="n"/>
      <c r="C2" s="36" t="n"/>
      <c r="D2" s="36" t="n"/>
      <c r="E2" s="36" t="n"/>
    </row>
    <row r="3" ht="15" customHeight="1" s="34">
      <c r="A3" s="38" t="inlineStr">
        <is>
          <t>RFQ</t>
        </is>
      </c>
      <c r="B3" s="39">
        <f>Baseline!B3</f>
        <v/>
      </c>
      <c r="C3" s="36" t="n"/>
      <c r="D3" s="36" t="n"/>
      <c r="E3" s="36" t="n"/>
    </row>
    <row r="4" ht="15" customHeight="1" s="34">
      <c r="A4" s="38" t="inlineStr">
        <is>
          <t>Recommended supplier (rank 1)</t>
        </is>
      </c>
      <c r="B4" s="39">
        <f>IFERROR(INDEX(Evaluation!$A$9:$A$18,MATCH(1,Evaluation!$I$9:$I$18,0)),"None eligible")</f>
        <v/>
      </c>
      <c r="C4" s="36" t="n"/>
      <c r="D4" s="36" t="n"/>
      <c r="E4" s="36" t="n"/>
    </row>
    <row r="5" ht="15" customHeight="1" s="34">
      <c r="A5" s="38" t="inlineStr">
        <is>
          <t>Evaluated total (SAR)</t>
        </is>
      </c>
      <c r="B5" s="74">
        <f>IFERROR(INDEX(Evaluation!$H$9:$H$18,MATCH(1,Evaluation!$I$9:$I$18,0)),"")</f>
        <v/>
      </c>
      <c r="C5" s="36" t="n"/>
      <c r="D5" s="36" t="n"/>
      <c r="E5" s="36" t="n"/>
    </row>
    <row r="6" ht="15" customHeight="1" s="34">
      <c r="A6" s="38" t="inlineStr">
        <is>
          <t>Award rationale</t>
        </is>
      </c>
      <c r="B6" s="54" t="n"/>
      <c r="C6" s="36" t="n"/>
      <c r="D6" s="36" t="n"/>
      <c r="E6" s="36" t="n"/>
    </row>
    <row r="7" ht="15" customHeight="1" s="34">
      <c r="A7" s="36" t="n"/>
      <c r="B7" s="36" t="n"/>
      <c r="C7" s="36" t="n"/>
      <c r="D7" s="36" t="n"/>
      <c r="E7" s="36" t="n"/>
    </row>
    <row r="8" ht="30" customHeight="1" s="34">
      <c r="A8" s="48" t="inlineStr">
        <is>
          <t>Role</t>
        </is>
      </c>
      <c r="B8" s="48" t="inlineStr">
        <is>
          <t>Name</t>
        </is>
      </c>
      <c r="C8" s="48" t="inlineStr">
        <is>
          <t>Decision</t>
        </is>
      </c>
      <c r="D8" s="48" t="inlineStr">
        <is>
          <t>Date</t>
        </is>
      </c>
      <c r="E8" s="48" t="inlineStr">
        <is>
          <t>Comment</t>
        </is>
      </c>
    </row>
    <row r="9" ht="15" customHeight="1" s="34">
      <c r="A9" s="43" t="inlineStr">
        <is>
          <t>Project Manager</t>
        </is>
      </c>
      <c r="B9" s="43" t="n"/>
      <c r="C9" s="43" t="inlineStr">
        <is>
          <t>Pending</t>
        </is>
      </c>
      <c r="D9" s="75" t="n"/>
      <c r="E9" s="43" t="n"/>
    </row>
    <row r="10" ht="15" customHeight="1" s="34">
      <c r="A10" s="43" t="inlineStr">
        <is>
          <t>Technical Lead</t>
        </is>
      </c>
      <c r="B10" s="43" t="n"/>
      <c r="C10" s="43" t="inlineStr">
        <is>
          <t>Pending</t>
        </is>
      </c>
      <c r="D10" s="75" t="n"/>
      <c r="E10" s="43" t="n"/>
    </row>
    <row r="11" ht="15" customHeight="1" s="34">
      <c r="A11" s="43" t="inlineStr">
        <is>
          <t>Procurement Manager</t>
        </is>
      </c>
      <c r="B11" s="43" t="n"/>
      <c r="C11" s="43" t="inlineStr">
        <is>
          <t>Pending</t>
        </is>
      </c>
      <c r="D11" s="75" t="n"/>
      <c r="E11" s="43" t="n"/>
    </row>
    <row r="12" ht="15" customHeight="1" s="34">
      <c r="A12" s="43" t="inlineStr">
        <is>
          <t>Finance</t>
        </is>
      </c>
      <c r="B12" s="43" t="n"/>
      <c r="C12" s="43" t="inlineStr">
        <is>
          <t>Pending</t>
        </is>
      </c>
      <c r="D12" s="75" t="n"/>
      <c r="E12" s="43" t="n"/>
    </row>
    <row r="13" ht="15" customHeight="1" s="34">
      <c r="A13" s="43" t="inlineStr">
        <is>
          <t>Director</t>
        </is>
      </c>
      <c r="B13" s="43" t="n"/>
      <c r="C13" s="43" t="inlineStr">
        <is>
          <t>Pending</t>
        </is>
      </c>
      <c r="D13" s="75" t="n"/>
      <c r="E13" s="43" t="n"/>
    </row>
    <row r="14" ht="15" customHeight="1" s="34">
      <c r="A14" s="36" t="n"/>
      <c r="B14" s="36" t="n"/>
      <c r="C14" s="36" t="n"/>
      <c r="D14" s="36" t="n"/>
      <c r="E14" s="36" t="n"/>
    </row>
    <row r="15" ht="15" customHeight="1" s="34">
      <c r="A15" s="38" t="inlineStr">
        <is>
          <t>Award status</t>
        </is>
      </c>
      <c r="B15" s="38">
        <f>IF(COUNTIF(C9:C13,"Rejected")&gt;0,"REJECTED",IF(COUNTIF(C9:C13,"Approved")=COUNTA(A9:A13),"APPROVED","PENDING"))</f>
        <v/>
      </c>
      <c r="C15" s="36" t="n"/>
      <c r="D15" s="36" t="n"/>
      <c r="E15" s="36" t="n"/>
    </row>
    <row r="16" ht="15" customHeight="1" s="34">
      <c r="A16" s="38" t="inlineStr">
        <is>
          <t>PO reference (Odoo)</t>
        </is>
      </c>
      <c r="B16" s="54" t="n"/>
      <c r="C16" s="36" t="n"/>
      <c r="D16" s="36" t="n"/>
      <c r="E16" s="36" t="n"/>
    </row>
  </sheetData>
  <dataValidations count="1">
    <dataValidation sqref="C9:C13" showDropDown="0" showInputMessage="0" showErrorMessage="0" allowBlank="1" type="list" errorStyle="stop" operator="between">
      <formula1>"Approved,Rejected,Pending"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2026-10-01T07:07:31Z</dcterms:created>
  <dcterms:modified xmlns:dcterms="http://purl.org/dc/terms/" xmlns:xsi="http://www.w3.org/2001/XMLSchema-instance" xsi:type="dcterms:W3CDTF">2026-10-04T09:15:25Z</dcterms:modified>
  <cp:revision>0</cp:revision>
</cp:coreProperties>
</file>